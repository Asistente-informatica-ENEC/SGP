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355" windowHeight="1170" firstSheet="1" activeTab="1"/>
  </bookViews>
  <sheets>
    <sheet name="INVENTARIO" sheetId="1" state="hidden" r:id="rId1"/>
    <sheet name="modelo" sheetId="8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H3" i="1" s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</calcChain>
</file>

<file path=xl/sharedStrings.xml><?xml version="1.0" encoding="utf-8"?>
<sst xmlns="http://schemas.openxmlformats.org/spreadsheetml/2006/main" count="121" uniqueCount="93">
  <si>
    <t>PRODUCTO</t>
  </si>
  <si>
    <t>DESCRIPCIÓN</t>
  </si>
  <si>
    <t>TOTAL</t>
  </si>
  <si>
    <t>CANTIDAD</t>
  </si>
  <si>
    <t>CUENTA CONTABLE</t>
  </si>
  <si>
    <t>SICOIN</t>
  </si>
  <si>
    <t>CARGO</t>
  </si>
  <si>
    <t>NIT</t>
  </si>
  <si>
    <t>U.ADM.</t>
  </si>
  <si>
    <t>RESPONSABLE</t>
  </si>
  <si>
    <t>DARWIN LEONARDO SIERRA BUSTILLO</t>
  </si>
  <si>
    <t>ADQUISICIONES</t>
  </si>
  <si>
    <t>BAJAS</t>
  </si>
  <si>
    <t>ACTIVOS FIJOS</t>
  </si>
  <si>
    <t>MINISTERIO DE SALUD PÚBLICA Y ASISTENCIA SOCIAL</t>
  </si>
  <si>
    <t xml:space="preserve">ESCUELA NACIONAL DE ENFERMERÍA DE COBÁN </t>
  </si>
  <si>
    <t>E INSTITUTO DE ADIESTRAMIENTO PARA PERSONAL DE SALUD DE LAS VERAPACES</t>
  </si>
  <si>
    <t>NOMBRE COMPLETO</t>
  </si>
  <si>
    <t>UNIDAD ADMINISTRATIVA</t>
  </si>
  <si>
    <t>FECHA DE OPERACIÓN</t>
  </si>
  <si>
    <t>No. DE INVENTARIO DE SICOIN</t>
  </si>
  <si>
    <t>DEBE</t>
  </si>
  <si>
    <t>HABER</t>
  </si>
  <si>
    <t>SALDO</t>
  </si>
  <si>
    <t>OBSERVACIÓN</t>
  </si>
  <si>
    <t>f.</t>
  </si>
  <si>
    <t>SILLA</t>
  </si>
  <si>
    <t>VALOR</t>
  </si>
  <si>
    <t>MESA</t>
  </si>
  <si>
    <t>0001417D</t>
  </si>
  <si>
    <t>Silla fija de metal de tubo cuadrado con respaldo de cuerina color café.</t>
  </si>
  <si>
    <t>000285CE</t>
  </si>
  <si>
    <t>ESCRITORIO</t>
  </si>
  <si>
    <t>Escritorios de metal para computadora tablero de formica 48x30 desnivel para teclado, 2 gavetas con llave. Sin serie, Sin Marca, Sin Modelo.</t>
  </si>
  <si>
    <t>002B9F40</t>
  </si>
  <si>
    <t>VENTILADOR DE TORRE</t>
  </si>
  <si>
    <t>Ventilador de torre de 42 pulgadas con control remoto, 3 velocidades, color negro. Marca Premium, Modelo PFT422R.</t>
  </si>
  <si>
    <t>000279D4</t>
  </si>
  <si>
    <t xml:space="preserve">VENTILADOR  </t>
  </si>
  <si>
    <t>Ventilador eléctrico de 110V. Industrial, modelo 007. Marca Lakewood</t>
  </si>
  <si>
    <t>00014410</t>
  </si>
  <si>
    <t>000138A8</t>
  </si>
  <si>
    <t>Mesa de metal con formica blanca de 36x26x16" con 1 gaveta sin llave, para máquina de escribir</t>
  </si>
  <si>
    <t>00034652</t>
  </si>
  <si>
    <t>MESA DE NOCHE</t>
  </si>
  <si>
    <t>Mesa de noche de metal con un peldaño de 16x16x27.5"</t>
  </si>
  <si>
    <t>00029166</t>
  </si>
  <si>
    <t>002BAF9F</t>
  </si>
  <si>
    <t>00035CD1</t>
  </si>
  <si>
    <t>0047360D</t>
  </si>
  <si>
    <t>002BAD48</t>
  </si>
  <si>
    <t>ARCHIVO</t>
  </si>
  <si>
    <t>SILLA SECRETARIAL</t>
  </si>
  <si>
    <t>ESCRITORIO SECRETARIAL</t>
  </si>
  <si>
    <t>ESTANTERIA</t>
  </si>
  <si>
    <t>UPS</t>
  </si>
  <si>
    <t>Archivo de metal color beige de 4 gavetas de 18x28x53"</t>
  </si>
  <si>
    <t>Silla secretarial, sin brazos, mecanismo inclinable, graduación de altura por medio shock, asiento yu respaldo concha plástica, posterior base de fibra de nylon, con 5 rodos, doble tela color negro.</t>
  </si>
  <si>
    <t>Escritorio secretarial de metal color negro tablero de formica de 3 gavetas con chapa, sin numero de serie.</t>
  </si>
  <si>
    <t>Estanteria de metal de 2x1x1. 6mts. De 5 entrepaños con soporte color beige.</t>
  </si>
  <si>
    <t>Unidad de poder ininterrumpido (UPS) corriente 110 voltios, duración de batería; 20 minutos, rango de entrada: 140 GigaHercios; Rango de salida 60 gigahercios; color negro; material plástico. Marca Forza, Modelo NT-751, Serie: 1490722500986</t>
  </si>
  <si>
    <t>004397DD</t>
  </si>
  <si>
    <t>ASPIRADORA</t>
  </si>
  <si>
    <t>Aspiradora, corriente: 120 voltios; frecuencia: 60Hercios; Potencia: 1100 Vatios; Tipo de accesorios: Humedo, seco. Marca RIDGID, Modelo WD06700, Serie 18138R110112</t>
  </si>
  <si>
    <t>003F6342</t>
  </si>
  <si>
    <t>OASIS</t>
  </si>
  <si>
    <t>Oasis capacidad: 5 galón(s); corriente: 120 voltio(s); frecuencia: 60 Hercio(s); Funciones: Caliente/Fría; Tipo: Piso. Marca PREMIUM, Modelo PWC235RQ, Serie P040106290396.</t>
  </si>
  <si>
    <t>00470247</t>
  </si>
  <si>
    <t>Archivo alto 1.97 mts; ancho: 80 cm. Estilo: Puertas con sistema de empuje para abrir, material: Metal; profundidad: 45 cms. Color Negro. Marca BAYSIX, Sin modelo, Sin serie.</t>
  </si>
  <si>
    <t>003ED1ED</t>
  </si>
  <si>
    <t>00241B7D</t>
  </si>
  <si>
    <t>00471C35</t>
  </si>
  <si>
    <t>00439939</t>
  </si>
  <si>
    <t>00439944</t>
  </si>
  <si>
    <t>0046D4A0</t>
  </si>
  <si>
    <t>IMPRESORA MULTIFUNCIONAL</t>
  </si>
  <si>
    <t>COMPUTADORA PORTÁTIL</t>
  </si>
  <si>
    <t>COMPUTADORA DE ESCRITORIO</t>
  </si>
  <si>
    <t>EXTINTOR</t>
  </si>
  <si>
    <t>HIDROLAVADORA</t>
  </si>
  <si>
    <t>Impresora multifuncional con sistema continuo de tinta capacidad de bandeja: 1 de 100 hojas; colores: 4; conectividad: 1 Puerto USB 2.0; Resolución: 5760x1440 Puntos por pulgada; Tecnología: Inyección  de tinta a color; tipo escaneado: Cama plana; velocidad de impresión máxima: 33 páginas por minuto en texto negro y 15 páginas por minuto en texto a color. Marca EPSON, Modelo L3110, Serie X5DN085639.</t>
  </si>
  <si>
    <t>VIENEN DE LA TARJETA DE RESPONSABILIDAD No.</t>
  </si>
  <si>
    <t>Computadora portátil Notebook. Marca DELL Modelo Latitud Serie No. 5MGJCS1</t>
  </si>
  <si>
    <t>Computadora de escritorio accesorios: Teclado y mouse; capacidad de Disco duro; 1 Terabyte; Memoria Ram: 8 Gigabyte; pantalla: Led; Procesador: 3.7 Gigahercio; puertos: USB, Rj-45, HDMI, VGA; sistema operativo: con licenciamiento; tamaño de monitor: 21.5 pulgadas; Unidad óptica: DVD +/- RW; color negro, material plástico, bocinas y audifonos integrados. Marca LENOVO, Modelo THINKCENTRE M7 10e, Serie YL0019GK.</t>
  </si>
  <si>
    <t>Extintor, capacidad: 2.5 libras; material: metal; Tipo: A-B-C. Marca TENGER, Sin modelo, Sin serie.</t>
  </si>
  <si>
    <t>Hidrolavadora carriente 120 voltios, incluye pistola de boquilla graduable, manguera de alta presión, potencia 2.5 caballos de fuerza, presión 1500 a 2000 libra por pulg. Cuadrada tipo industrial, color amarillo, material plástico, pistola pulverizadora, con dispensador de jabón. Marca Karcher, Modelo K4, Serie 104541.</t>
  </si>
  <si>
    <t>Autorizado por la Contraloría General de Cuentas según Resolución número F.O.-MC-205-2025 002500 Gestión 1065478 del 12/06/2025,  Libro No. 65403 del 24/08/2016 folio 91 correlativo 55-AV-2025 del 20/08/2025, Forma "Activos Fijos Tarjetas de Responsabilidad" Electrónica Original, Original: Para la Entidad,  cantidad 300 unidades del 301 al 600 sin serie, Envío Fiscal Especial  4-A1-CCC Serie "A" No. 15190 del 20/08/2025 No. De Cuentadancia: 2022-1600-1601-18-002</t>
  </si>
  <si>
    <r>
      <rPr>
        <b/>
        <sz val="11"/>
        <rFont val="Arial Black"/>
        <family val="2"/>
      </rPr>
      <t xml:space="preserve">                                         </t>
    </r>
    <r>
      <rPr>
        <b/>
        <sz val="11"/>
        <color rgb="FFFF0000"/>
        <rFont val="Arial Black"/>
        <family val="2"/>
      </rPr>
      <t xml:space="preserve">            No. 000</t>
    </r>
  </si>
  <si>
    <t xml:space="preserve">                                        TARJETA DE RESPONSABILIDAD</t>
  </si>
  <si>
    <t xml:space="preserve">Angela Elizabeth Delgado Cú </t>
  </si>
  <si>
    <t>Encargada de la Unidad de Activos</t>
  </si>
  <si>
    <t xml:space="preserve">nombre </t>
  </si>
  <si>
    <t>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</si>
</sst>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Q&quot;#,##0.00;[Red]\-&quot;Q&quot;#,##0.00"/>
    <numFmt numFmtId="44" formatCode="_-&quot;Q&quot;* #,##0.00_-;\-&quot;Q&quot;* #,##0.00_-;_-&quot;Q&quot;* &quot;-&quot;??_-;_-@_-"/>
    <numFmt numFmtId="164" formatCode="&quot;Q&quot;#,##0.00"/>
    <numFmt numFmtId="165" formatCode="_(&quot;Q&quot;* #,##0.00_);_(&quot;Q&quot;* \(#,##0.00\);_(&quot;Q&quot;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</font>
    <font>
      <sz val="8"/>
      <color theme="1"/>
      <name val="Arial"/>
      <family val="2"/>
    </font>
    <font>
      <sz val="12"/>
      <color indexed="8"/>
      <name val="Arial"/>
      <family val="2"/>
    </font>
    <font>
      <sz val="10"/>
      <color rgb="FF000000"/>
      <name val="Calibri"/>
      <family val="2"/>
      <scheme val="minor"/>
    </font>
    <font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</font>
    <font>
      <sz val="9"/>
      <name val="Calibri"/>
      <family val="2"/>
      <scheme val="minor"/>
    </font>
    <font>
      <b/>
      <sz val="11"/>
      <color rgb="FFFF0000"/>
      <name val="Arial Black"/>
      <family val="2"/>
    </font>
    <font>
      <b/>
      <sz val="11"/>
      <name val="Arial Black"/>
      <family val="2"/>
    </font>
    <font>
      <sz val="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  <xf numFmtId="0" fontId="9" fillId="0" borderId="0" xfId="0" applyFont="1" applyAlignment="1">
      <alignment wrapText="1"/>
    </xf>
    <xf numFmtId="164" fontId="10" fillId="0" borderId="3" xfId="0" applyNumberFormat="1" applyFont="1" applyBorder="1" applyAlignment="1">
      <alignment vertical="center"/>
    </xf>
    <xf numFmtId="164" fontId="10" fillId="0" borderId="3" xfId="0" applyNumberFormat="1" applyFont="1" applyBorder="1" applyAlignment="1">
      <alignment horizontal="right" vertical="center"/>
    </xf>
    <xf numFmtId="0" fontId="11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8" fontId="9" fillId="0" borderId="3" xfId="1" applyNumberFormat="1" applyFont="1" applyBorder="1" applyAlignment="1">
      <alignment horizontal="right" vertical="center"/>
    </xf>
    <xf numFmtId="0" fontId="12" fillId="0" borderId="3" xfId="0" applyFont="1" applyBorder="1" applyAlignment="1">
      <alignment horizontal="center" vertical="center"/>
    </xf>
    <xf numFmtId="49" fontId="13" fillId="0" borderId="3" xfId="0" quotePrefix="1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165" fontId="15" fillId="0" borderId="3" xfId="0" applyNumberFormat="1" applyFont="1" applyFill="1" applyBorder="1" applyAlignment="1">
      <alignment vertical="center"/>
    </xf>
    <xf numFmtId="44" fontId="9" fillId="0" borderId="3" xfId="0" applyNumberFormat="1" applyFont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164" fontId="9" fillId="0" borderId="3" xfId="0" applyNumberFormat="1" applyFont="1" applyBorder="1" applyAlignment="1">
      <alignment vertical="center"/>
    </xf>
    <xf numFmtId="0" fontId="3" fillId="0" borderId="0" xfId="0" applyFont="1" applyAlignment="1">
      <alignment wrapText="1"/>
    </xf>
    <xf numFmtId="14" fontId="7" fillId="0" borderId="5" xfId="0" applyNumberFormat="1" applyFont="1" applyBorder="1" applyAlignment="1">
      <alignment horizontal="center" vertical="center"/>
    </xf>
    <xf numFmtId="0" fontId="17" fillId="0" borderId="0" xfId="0" applyFont="1" applyAlignment="1">
      <alignment wrapText="1"/>
    </xf>
    <xf numFmtId="44" fontId="9" fillId="0" borderId="3" xfId="0" applyNumberFormat="1" applyFont="1" applyBorder="1" applyAlignment="1">
      <alignment vertical="center"/>
    </xf>
    <xf numFmtId="44" fontId="9" fillId="0" borderId="3" xfId="0" applyNumberFormat="1" applyFont="1" applyBorder="1"/>
    <xf numFmtId="8" fontId="9" fillId="0" borderId="3" xfId="0" applyNumberFormat="1" applyFont="1" applyBorder="1" applyAlignment="1">
      <alignment vertical="center"/>
    </xf>
    <xf numFmtId="0" fontId="7" fillId="0" borderId="3" xfId="0" applyFont="1" applyBorder="1"/>
    <xf numFmtId="49" fontId="18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left" vertical="center" wrapText="1"/>
    </xf>
    <xf numFmtId="164" fontId="9" fillId="0" borderId="3" xfId="0" applyNumberFormat="1" applyFont="1" applyBorder="1"/>
    <xf numFmtId="0" fontId="2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vertical="top"/>
    </xf>
    <xf numFmtId="44" fontId="0" fillId="0" borderId="0" xfId="1" applyNumberFormat="1" applyFont="1" applyAlignment="1">
      <alignment vertical="top"/>
    </xf>
    <xf numFmtId="44" fontId="2" fillId="0" borderId="0" xfId="0" applyNumberFormat="1" applyFont="1" applyAlignment="1">
      <alignment horizontal="center" vertical="top"/>
    </xf>
    <xf numFmtId="44" fontId="0" fillId="0" borderId="0" xfId="0" applyNumberFormat="1" applyAlignment="1">
      <alignment vertical="top"/>
    </xf>
    <xf numFmtId="14" fontId="7" fillId="0" borderId="3" xfId="0" applyNumberFormat="1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44" fontId="9" fillId="0" borderId="3" xfId="0" applyNumberFormat="1" applyFont="1" applyBorder="1" applyAlignment="1">
      <alignment vertical="top"/>
    </xf>
    <xf numFmtId="44" fontId="9" fillId="0" borderId="3" xfId="1" applyNumberFormat="1" applyFont="1" applyBorder="1" applyAlignment="1">
      <alignment horizontal="right" vertical="top"/>
    </xf>
    <xf numFmtId="0" fontId="0" fillId="0" borderId="0" xfId="0" applyFont="1" applyAlignment="1">
      <alignment horizontal="justify" vertical="top" wrapText="1"/>
    </xf>
    <xf numFmtId="0" fontId="19" fillId="0" borderId="0" xfId="0" applyFont="1" applyAlignment="1">
      <alignment horizontal="center" wrapText="1"/>
    </xf>
    <xf numFmtId="0" fontId="3" fillId="0" borderId="7" xfId="0" applyFont="1" applyFill="1" applyBorder="1" applyAlignment="1">
      <alignment horizontal="justify" vertical="top" wrapText="1"/>
    </xf>
    <xf numFmtId="49" fontId="0" fillId="0" borderId="8" xfId="0" applyNumberFormat="1" applyFont="1" applyFill="1" applyBorder="1" applyAlignment="1">
      <alignment vertical="top"/>
    </xf>
    <xf numFmtId="0" fontId="6" fillId="0" borderId="0" xfId="0" applyFont="1" applyAlignment="1"/>
    <xf numFmtId="49" fontId="0" fillId="0" borderId="3" xfId="0" applyNumberFormat="1" applyFont="1" applyFill="1" applyBorder="1" applyAlignment="1">
      <alignment vertical="top"/>
    </xf>
    <xf numFmtId="0" fontId="3" fillId="0" borderId="0" xfId="0" applyFont="1" applyFill="1" applyBorder="1" applyAlignment="1">
      <alignment horizontal="justify" vertical="top" wrapText="1"/>
    </xf>
    <xf numFmtId="0" fontId="7" fillId="0" borderId="1" xfId="0" applyFont="1" applyBorder="1" applyAlignment="1">
      <alignment horizontal="center"/>
    </xf>
    <xf numFmtId="0" fontId="21" fillId="0" borderId="6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13"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numFmt numFmtId="34" formatCode="_-&quot;Q&quot;* #,##0.00_-;\-&quot;Q&quot;* #,##0.00_-;_-&quot;Q&quot;* &quot;-&quot;??_-;_-@_-"/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numFmt numFmtId="34" formatCode="_-&quot;Q&quot;* #,##0.00_-;\-&quot;Q&quot;* #,##0.00_-;_-&quot;Q&quot;* &quot;-&quot;??_-;_-@_-"/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justify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0" formatCode="@"/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1047683</xdr:colOff>
      <xdr:row>0</xdr:row>
      <xdr:rowOff>0</xdr:rowOff>
    </xdr:from>
    <xdr:to>
      <xdr:col>7</xdr:col>
      <xdr:colOff>1769995</xdr:colOff>
      <xdr:row>3</xdr:row>
      <xdr:rowOff>173934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54E85F37-3908-15AD-F5CB-ED393CB4F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95705" y="0"/>
          <a:ext cx="722312" cy="753717"/>
        </a:xfrm>
        <a:prstGeom prst="rect">
          <a:avLst/>
        </a:prstGeom>
        <a:noFill/>
      </xdr:spPr>
    </xdr:pic>
    <xdr:clientData/>
  </xdr:twoCellAnchor>
  <xdr:twoCellAnchor>
    <xdr:from>
      <xdr:col>0</xdr:col>
      <xdr:colOff>16566</xdr:colOff>
      <xdr:row>0</xdr:row>
      <xdr:rowOff>0</xdr:rowOff>
    </xdr:from>
    <xdr:to>
      <xdr:col>1</xdr:col>
      <xdr:colOff>988743</xdr:colOff>
      <xdr:row>5</xdr:row>
      <xdr:rowOff>10025</xdr:rowOff>
    </xdr:to>
    <xdr:grpSp>
      <xdr:nvGrpSpPr>
        <xdr:cNvPr id="32" name="Grupo 31"/>
        <xdr:cNvGrpSpPr/>
      </xdr:nvGrpSpPr>
      <xdr:grpSpPr>
        <a:xfrm>
          <a:off x="16566" y="0"/>
          <a:ext cx="1974373" cy="1037068"/>
          <a:chOff x="0" y="1"/>
          <a:chExt cx="1972973" cy="994722"/>
        </a:xfrm>
      </xdr:grpSpPr>
      <xdr:pic>
        <xdr:nvPicPr>
          <xdr:cNvPr id="2" name="Imagen 1"/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429" t="804" r="1190" b="2143"/>
          <a:stretch/>
        </xdr:blipFill>
        <xdr:spPr>
          <a:xfrm>
            <a:off x="1000657" y="2682"/>
            <a:ext cx="972316" cy="971385"/>
          </a:xfrm>
          <a:prstGeom prst="rect">
            <a:avLst/>
          </a:prstGeom>
          <a:ln>
            <a:solidFill>
              <a:schemeClr val="bg1"/>
            </a:solidFill>
          </a:ln>
        </xdr:spPr>
      </xdr:pic>
      <xdr:pic>
        <xdr:nvPicPr>
          <xdr:cNvPr id="3" name="Imagen 2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"/>
            <a:ext cx="997554" cy="994722"/>
          </a:xfrm>
          <a:prstGeom prst="rect">
            <a:avLst/>
          </a:prstGeom>
        </xdr:spPr>
      </xdr:pic>
    </xdr:grpSp>
    <xdr:clientData/>
  </xdr:twoCellAnchor>
</xdr:wsDr>
</file>

<file path=xl/tables/table1.xml><?xml version="1.0" encoding="utf-8"?>
<table xmlns="http://schemas.openxmlformats.org/spreadsheetml/2006/main" id="1" name="INVENTARIO" displayName="INVENTARIO" ref="A1:K867" totalsRowShown="0" headerRowDxfId="12" dataDxfId="11">
  <autoFilter ref="A1:K867"/>
  <tableColumns count="11">
    <tableColumn id="1" name="CUENTA CONTABLE" dataDxfId="10"/>
    <tableColumn id="2" name="SICOIN" dataDxfId="9"/>
    <tableColumn id="3" name="PRODUCTO" dataDxfId="8"/>
    <tableColumn id="4" name="DESCRIPCIÓN" dataDxfId="7"/>
    <tableColumn id="5" name="VALOR" dataDxfId="6" dataCellStyle="Moneda"/>
    <tableColumn id="6" name="ADQUISICIONES" dataDxfId="5"/>
    <tableColumn id="7" name="BAJAS" dataDxfId="4"/>
    <tableColumn id="8" name="TOTAL" dataDxfId="3">
      <calculatedColumnFormula>INVENTARIO[[#This Row],[VALOR]]</calculatedColumnFormula>
    </tableColumn>
    <tableColumn id="9" name="U.ADM." dataDxfId="2"/>
    <tableColumn id="10" name="RESPONSABLE" dataDxfId="1"/>
    <tableColumn id="11" name="N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K1200"/>
  <sheetViews>
    <sheetView workbookViewId="0">
      <selection activeCell="B3" sqref="B3"/>
    </sheetView>
  </sheetViews>
  <sheetFormatPr baseColWidth="10" defaultRowHeight="15" x14ac:dyDescent="0.25"/>
  <cols>
    <col min="1" max="1" width="12.28515625" style="1" customWidth="1"/>
    <col min="2" max="2" width="11.42578125" style="39"/>
    <col min="3" max="3" width="17.85546875" style="1" customWidth="1"/>
    <col min="4" max="4" width="37.28515625" style="47" customWidth="1"/>
    <col min="5" max="5" width="15.28515625" style="1" customWidth="1"/>
    <col min="6" max="6" width="14.5703125" style="1" customWidth="1"/>
    <col min="7" max="7" width="19.140625" style="1" customWidth="1"/>
    <col min="8" max="8" width="16.42578125" style="42" customWidth="1"/>
    <col min="9" max="9" width="15.28515625" style="1" customWidth="1"/>
    <col min="10" max="10" width="27.140625" style="1" customWidth="1"/>
    <col min="11" max="16384" width="11.42578125" style="1"/>
  </cols>
  <sheetData>
    <row r="1" spans="1:11" ht="30" x14ac:dyDescent="0.25">
      <c r="A1" s="36" t="s">
        <v>4</v>
      </c>
      <c r="B1" s="38" t="s">
        <v>5</v>
      </c>
      <c r="C1" s="37" t="s">
        <v>0</v>
      </c>
      <c r="D1" s="35" t="s">
        <v>1</v>
      </c>
      <c r="E1" s="37" t="s">
        <v>27</v>
      </c>
      <c r="F1" s="37" t="s">
        <v>11</v>
      </c>
      <c r="G1" s="37" t="s">
        <v>12</v>
      </c>
      <c r="H1" s="41" t="s">
        <v>2</v>
      </c>
      <c r="I1" s="37" t="s">
        <v>8</v>
      </c>
      <c r="J1" s="37" t="s">
        <v>9</v>
      </c>
      <c r="K1" s="37" t="s">
        <v>7</v>
      </c>
    </row>
    <row r="2" spans="1:11" ht="30" x14ac:dyDescent="0.25">
      <c r="B2" s="39" t="s">
        <v>29</v>
      </c>
      <c r="C2" s="2" t="s">
        <v>26</v>
      </c>
      <c r="D2" s="47" t="s">
        <v>30</v>
      </c>
      <c r="E2" s="40">
        <v>50</v>
      </c>
      <c r="H2" s="42">
        <f>INVENTARIO[[#This Row],[VALOR]]</f>
        <v>50</v>
      </c>
      <c r="J2" s="1" t="s">
        <v>10</v>
      </c>
    </row>
    <row r="3" spans="1:11" ht="60" x14ac:dyDescent="0.25">
      <c r="B3" s="39" t="s">
        <v>31</v>
      </c>
      <c r="C3" s="2" t="s">
        <v>32</v>
      </c>
      <c r="D3" s="47" t="s">
        <v>33</v>
      </c>
      <c r="E3" s="40">
        <v>850</v>
      </c>
      <c r="H3" s="42">
        <f>H2+INVENTARIO[[#This Row],[VALOR]]</f>
        <v>900</v>
      </c>
      <c r="J3" s="1" t="s">
        <v>10</v>
      </c>
    </row>
    <row r="4" spans="1:11" ht="60" x14ac:dyDescent="0.25">
      <c r="B4" s="39" t="s">
        <v>34</v>
      </c>
      <c r="C4" s="2" t="s">
        <v>35</v>
      </c>
      <c r="D4" s="47" t="s">
        <v>36</v>
      </c>
      <c r="E4" s="40">
        <v>690</v>
      </c>
      <c r="H4" s="42">
        <f>H3+INVENTARIO[[#This Row],[VALOR]]</f>
        <v>1590</v>
      </c>
      <c r="J4" s="1" t="s">
        <v>10</v>
      </c>
    </row>
    <row r="5" spans="1:11" ht="30" x14ac:dyDescent="0.25">
      <c r="B5" s="39" t="s">
        <v>37</v>
      </c>
      <c r="C5" s="2" t="s">
        <v>38</v>
      </c>
      <c r="D5" s="47" t="s">
        <v>39</v>
      </c>
      <c r="E5" s="40">
        <v>450</v>
      </c>
      <c r="H5" s="42">
        <f>H4+INVENTARIO[[#This Row],[VALOR]]</f>
        <v>2040</v>
      </c>
      <c r="J5" s="1" t="s">
        <v>10</v>
      </c>
    </row>
    <row r="6" spans="1:11" ht="30" x14ac:dyDescent="0.25">
      <c r="B6" s="39" t="s">
        <v>40</v>
      </c>
      <c r="C6" s="2" t="s">
        <v>26</v>
      </c>
      <c r="D6" s="47" t="s">
        <v>30</v>
      </c>
      <c r="E6" s="40">
        <v>30</v>
      </c>
      <c r="H6" s="42">
        <f>H5+INVENTARIO[[#This Row],[VALOR]]</f>
        <v>2070</v>
      </c>
      <c r="J6" s="1" t="s">
        <v>10</v>
      </c>
    </row>
    <row r="7" spans="1:11" ht="45" x14ac:dyDescent="0.25">
      <c r="B7" s="39" t="s">
        <v>41</v>
      </c>
      <c r="C7" s="2" t="s">
        <v>28</v>
      </c>
      <c r="D7" s="47" t="s">
        <v>42</v>
      </c>
      <c r="E7" s="40">
        <v>60</v>
      </c>
      <c r="H7" s="42">
        <f>H6+INVENTARIO[[#This Row],[VALOR]]</f>
        <v>2130</v>
      </c>
      <c r="J7" s="1" t="s">
        <v>10</v>
      </c>
    </row>
    <row r="8" spans="1:11" ht="30" x14ac:dyDescent="0.25">
      <c r="B8" s="39" t="s">
        <v>43</v>
      </c>
      <c r="C8" s="2" t="s">
        <v>44</v>
      </c>
      <c r="D8" s="47" t="s">
        <v>45</v>
      </c>
      <c r="E8" s="40">
        <v>13.65</v>
      </c>
      <c r="H8" s="42">
        <f>H7+INVENTARIO[[#This Row],[VALOR]]</f>
        <v>2143.65</v>
      </c>
      <c r="J8" s="1" t="s">
        <v>10</v>
      </c>
    </row>
    <row r="9" spans="1:11" ht="30" x14ac:dyDescent="0.25">
      <c r="B9" s="39" t="s">
        <v>46</v>
      </c>
      <c r="C9" s="2" t="s">
        <v>51</v>
      </c>
      <c r="D9" s="47" t="s">
        <v>56</v>
      </c>
      <c r="E9" s="40">
        <v>100</v>
      </c>
      <c r="H9" s="42">
        <f>H8+INVENTARIO[[#This Row],[VALOR]]</f>
        <v>2243.65</v>
      </c>
      <c r="J9" s="1" t="s">
        <v>10</v>
      </c>
    </row>
    <row r="10" spans="1:11" ht="90" x14ac:dyDescent="0.25">
      <c r="B10" s="39" t="s">
        <v>50</v>
      </c>
      <c r="C10" s="2" t="s">
        <v>52</v>
      </c>
      <c r="D10" s="47" t="s">
        <v>57</v>
      </c>
      <c r="E10" s="40">
        <v>750</v>
      </c>
      <c r="H10" s="42">
        <f>H9+INVENTARIO[[#This Row],[VALOR]]</f>
        <v>2993.65</v>
      </c>
      <c r="J10" s="1" t="s">
        <v>10</v>
      </c>
    </row>
    <row r="11" spans="1:11" ht="45" x14ac:dyDescent="0.25">
      <c r="B11" s="39" t="s">
        <v>47</v>
      </c>
      <c r="C11" s="2" t="s">
        <v>53</v>
      </c>
      <c r="D11" s="47" t="s">
        <v>58</v>
      </c>
      <c r="E11" s="40">
        <v>1290</v>
      </c>
      <c r="H11" s="42">
        <f>H10+INVENTARIO[[#This Row],[VALOR]]</f>
        <v>4283.6499999999996</v>
      </c>
      <c r="J11" s="1" t="s">
        <v>10</v>
      </c>
    </row>
    <row r="12" spans="1:11" ht="30" x14ac:dyDescent="0.25">
      <c r="B12" s="39" t="s">
        <v>48</v>
      </c>
      <c r="C12" s="2" t="s">
        <v>54</v>
      </c>
      <c r="D12" s="47" t="s">
        <v>59</v>
      </c>
      <c r="E12" s="40">
        <v>750</v>
      </c>
      <c r="H12" s="42">
        <f>H11+INVENTARIO[[#This Row],[VALOR]]</f>
        <v>5033.6499999999996</v>
      </c>
      <c r="J12" s="1" t="s">
        <v>10</v>
      </c>
    </row>
    <row r="13" spans="1:11" ht="105" x14ac:dyDescent="0.25">
      <c r="B13" s="39" t="s">
        <v>49</v>
      </c>
      <c r="C13" s="2" t="s">
        <v>55</v>
      </c>
      <c r="D13" s="47" t="s">
        <v>60</v>
      </c>
      <c r="E13" s="40">
        <v>435</v>
      </c>
      <c r="H13" s="42">
        <f>H12+INVENTARIO[[#This Row],[VALOR]]</f>
        <v>5468.65</v>
      </c>
      <c r="J13" s="1" t="s">
        <v>10</v>
      </c>
    </row>
    <row r="14" spans="1:11" ht="75" x14ac:dyDescent="0.25">
      <c r="B14" s="39" t="s">
        <v>61</v>
      </c>
      <c r="C14" s="2" t="s">
        <v>62</v>
      </c>
      <c r="D14" s="47" t="s">
        <v>63</v>
      </c>
      <c r="E14" s="40">
        <v>1530</v>
      </c>
      <c r="H14" s="42">
        <f>H13+INVENTARIO[[#This Row],[VALOR]]</f>
        <v>6998.65</v>
      </c>
      <c r="J14" s="1" t="s">
        <v>10</v>
      </c>
    </row>
    <row r="15" spans="1:11" ht="75" x14ac:dyDescent="0.25">
      <c r="B15" s="39" t="s">
        <v>64</v>
      </c>
      <c r="C15" s="2" t="s">
        <v>65</v>
      </c>
      <c r="D15" s="47" t="s">
        <v>66</v>
      </c>
      <c r="E15" s="40">
        <v>1500</v>
      </c>
      <c r="H15" s="42">
        <f>H14+INVENTARIO[[#This Row],[VALOR]]</f>
        <v>8498.65</v>
      </c>
      <c r="J15" s="1" t="s">
        <v>10</v>
      </c>
    </row>
    <row r="16" spans="1:11" ht="75" x14ac:dyDescent="0.25">
      <c r="B16" s="39" t="s">
        <v>67</v>
      </c>
      <c r="C16" s="2" t="s">
        <v>51</v>
      </c>
      <c r="D16" s="47" t="s">
        <v>68</v>
      </c>
      <c r="E16" s="40">
        <v>1395</v>
      </c>
      <c r="H16" s="42">
        <f>H15+INVENTARIO[[#This Row],[VALOR]]</f>
        <v>9893.65</v>
      </c>
      <c r="J16" s="1" t="s">
        <v>10</v>
      </c>
    </row>
    <row r="17" spans="2:10" ht="165" x14ac:dyDescent="0.25">
      <c r="B17" s="39" t="s">
        <v>69</v>
      </c>
      <c r="C17" s="2" t="s">
        <v>75</v>
      </c>
      <c r="D17" s="47" t="s">
        <v>80</v>
      </c>
      <c r="E17" s="40">
        <v>1388</v>
      </c>
      <c r="H17" s="42">
        <f>H16+INVENTARIO[[#This Row],[VALOR]]</f>
        <v>11281.65</v>
      </c>
      <c r="J17" s="1" t="s">
        <v>10</v>
      </c>
    </row>
    <row r="18" spans="2:10" ht="30" x14ac:dyDescent="0.25">
      <c r="B18" s="39" t="s">
        <v>70</v>
      </c>
      <c r="C18" s="2" t="s">
        <v>76</v>
      </c>
      <c r="D18" s="47" t="s">
        <v>82</v>
      </c>
      <c r="E18" s="40">
        <v>12895</v>
      </c>
      <c r="H18" s="42">
        <f>H17+INVENTARIO[[#This Row],[VALOR]]</f>
        <v>24176.65</v>
      </c>
      <c r="J18" s="1" t="s">
        <v>10</v>
      </c>
    </row>
    <row r="19" spans="2:10" ht="180" x14ac:dyDescent="0.25">
      <c r="B19" s="39" t="s">
        <v>71</v>
      </c>
      <c r="C19" s="2" t="s">
        <v>77</v>
      </c>
      <c r="D19" s="47" t="s">
        <v>83</v>
      </c>
      <c r="E19" s="40">
        <v>4500</v>
      </c>
      <c r="H19" s="42">
        <f>H18+INVENTARIO[[#This Row],[VALOR]]</f>
        <v>28676.65</v>
      </c>
      <c r="J19" s="1" t="s">
        <v>10</v>
      </c>
    </row>
    <row r="20" spans="2:10" ht="45" x14ac:dyDescent="0.25">
      <c r="B20" s="39" t="s">
        <v>72</v>
      </c>
      <c r="C20" s="2" t="s">
        <v>78</v>
      </c>
      <c r="D20" s="47" t="s">
        <v>84</v>
      </c>
      <c r="E20" s="40">
        <v>150</v>
      </c>
      <c r="H20" s="42">
        <f>H19+INVENTARIO[[#This Row],[VALOR]]</f>
        <v>28826.65</v>
      </c>
      <c r="J20" s="1" t="s">
        <v>10</v>
      </c>
    </row>
    <row r="21" spans="2:10" ht="45" x14ac:dyDescent="0.25">
      <c r="B21" s="39" t="s">
        <v>73</v>
      </c>
      <c r="C21" s="2" t="s">
        <v>78</v>
      </c>
      <c r="D21" s="47" t="s">
        <v>84</v>
      </c>
      <c r="E21" s="40">
        <v>150</v>
      </c>
      <c r="H21" s="42">
        <f>H20+INVENTARIO[[#This Row],[VALOR]]</f>
        <v>28976.65</v>
      </c>
      <c r="J21" s="1" t="s">
        <v>10</v>
      </c>
    </row>
    <row r="22" spans="2:10" ht="135" x14ac:dyDescent="0.25">
      <c r="B22" s="39" t="s">
        <v>74</v>
      </c>
      <c r="C22" s="2" t="s">
        <v>79</v>
      </c>
      <c r="D22" s="47" t="s">
        <v>85</v>
      </c>
      <c r="E22" s="40">
        <v>2463</v>
      </c>
      <c r="H22" s="42">
        <f>H21+INVENTARIO[[#This Row],[VALOR]]</f>
        <v>31439.65</v>
      </c>
      <c r="J22" s="1" t="s">
        <v>10</v>
      </c>
    </row>
    <row r="23" spans="2:10" x14ac:dyDescent="0.25">
      <c r="C23" s="2"/>
      <c r="E23" s="40"/>
      <c r="H23" s="42">
        <f>H22+INVENTARIO[[#This Row],[VALOR]]</f>
        <v>31439.65</v>
      </c>
    </row>
    <row r="24" spans="2:10" x14ac:dyDescent="0.25">
      <c r="C24" s="2"/>
      <c r="E24" s="40"/>
      <c r="H24" s="42">
        <f>H23+INVENTARIO[[#This Row],[VALOR]]</f>
        <v>31439.65</v>
      </c>
    </row>
    <row r="25" spans="2:10" x14ac:dyDescent="0.25">
      <c r="C25" s="2"/>
      <c r="E25" s="40"/>
      <c r="H25" s="42">
        <f>H24+INVENTARIO[[#This Row],[VALOR]]</f>
        <v>31439.65</v>
      </c>
    </row>
    <row r="26" spans="2:10" x14ac:dyDescent="0.25">
      <c r="C26" s="2"/>
      <c r="E26" s="40"/>
      <c r="H26" s="42">
        <f>H25+INVENTARIO[[#This Row],[VALOR]]</f>
        <v>31439.65</v>
      </c>
    </row>
    <row r="27" spans="2:10" x14ac:dyDescent="0.25">
      <c r="C27" s="2"/>
      <c r="E27" s="40"/>
      <c r="H27" s="42">
        <f>H26+INVENTARIO[[#This Row],[VALOR]]</f>
        <v>31439.65</v>
      </c>
    </row>
    <row r="28" spans="2:10" x14ac:dyDescent="0.25">
      <c r="C28" s="2"/>
      <c r="E28" s="40"/>
      <c r="H28" s="42">
        <f>H27+INVENTARIO[[#This Row],[VALOR]]</f>
        <v>31439.65</v>
      </c>
    </row>
    <row r="29" spans="2:10" x14ac:dyDescent="0.25">
      <c r="C29" s="2"/>
      <c r="E29" s="40"/>
      <c r="H29" s="42">
        <f>H28+INVENTARIO[[#This Row],[VALOR]]</f>
        <v>31439.65</v>
      </c>
    </row>
    <row r="30" spans="2:10" x14ac:dyDescent="0.25">
      <c r="C30" s="2"/>
      <c r="E30" s="40"/>
      <c r="H30" s="42">
        <f>H29+INVENTARIO[[#This Row],[VALOR]]</f>
        <v>31439.65</v>
      </c>
    </row>
    <row r="31" spans="2:10" x14ac:dyDescent="0.25">
      <c r="C31" s="2"/>
      <c r="E31" s="40"/>
      <c r="H31" s="42">
        <f>H30+INVENTARIO[[#This Row],[VALOR]]</f>
        <v>31439.65</v>
      </c>
    </row>
    <row r="32" spans="2:10" x14ac:dyDescent="0.25">
      <c r="C32" s="2"/>
      <c r="E32" s="40"/>
      <c r="H32" s="42">
        <f>H31+INVENTARIO[[#This Row],[VALOR]]</f>
        <v>31439.65</v>
      </c>
    </row>
    <row r="33" spans="3:8" x14ac:dyDescent="0.25">
      <c r="C33" s="2"/>
      <c r="E33" s="40"/>
      <c r="H33" s="42">
        <f>H32+INVENTARIO[[#This Row],[VALOR]]</f>
        <v>31439.65</v>
      </c>
    </row>
    <row r="34" spans="3:8" x14ac:dyDescent="0.25">
      <c r="C34" s="2"/>
      <c r="E34" s="40"/>
      <c r="H34" s="42">
        <f>H33+INVENTARIO[[#This Row],[VALOR]]</f>
        <v>31439.65</v>
      </c>
    </row>
    <row r="35" spans="3:8" x14ac:dyDescent="0.25">
      <c r="C35" s="2"/>
      <c r="E35" s="40"/>
      <c r="H35" s="42">
        <f>H34+INVENTARIO[[#This Row],[VALOR]]</f>
        <v>31439.65</v>
      </c>
    </row>
    <row r="36" spans="3:8" x14ac:dyDescent="0.25">
      <c r="C36" s="2"/>
      <c r="E36" s="40"/>
      <c r="H36" s="42">
        <f>H35+INVENTARIO[[#This Row],[VALOR]]</f>
        <v>31439.65</v>
      </c>
    </row>
    <row r="37" spans="3:8" x14ac:dyDescent="0.25">
      <c r="C37" s="2"/>
      <c r="E37" s="40"/>
      <c r="H37" s="42">
        <f>H36+INVENTARIO[[#This Row],[VALOR]]</f>
        <v>31439.65</v>
      </c>
    </row>
    <row r="38" spans="3:8" x14ac:dyDescent="0.25">
      <c r="C38" s="2"/>
      <c r="E38" s="40"/>
      <c r="H38" s="42">
        <f>H37+INVENTARIO[[#This Row],[VALOR]]</f>
        <v>31439.65</v>
      </c>
    </row>
    <row r="39" spans="3:8" x14ac:dyDescent="0.25">
      <c r="C39" s="2"/>
      <c r="E39" s="40"/>
      <c r="H39" s="42">
        <f>H38+INVENTARIO[[#This Row],[VALOR]]</f>
        <v>31439.65</v>
      </c>
    </row>
    <row r="40" spans="3:8" x14ac:dyDescent="0.25">
      <c r="C40" s="2"/>
      <c r="E40" s="40"/>
      <c r="H40" s="42">
        <f>H39+INVENTARIO[[#This Row],[VALOR]]</f>
        <v>31439.65</v>
      </c>
    </row>
    <row r="41" spans="3:8" x14ac:dyDescent="0.25">
      <c r="C41" s="2"/>
      <c r="E41" s="40"/>
      <c r="H41" s="42">
        <f>H40+INVENTARIO[[#This Row],[VALOR]]</f>
        <v>31439.65</v>
      </c>
    </row>
    <row r="42" spans="3:8" x14ac:dyDescent="0.25">
      <c r="C42" s="2"/>
      <c r="E42" s="40"/>
      <c r="H42" s="42">
        <f>H41+INVENTARIO[[#This Row],[VALOR]]</f>
        <v>31439.65</v>
      </c>
    </row>
    <row r="43" spans="3:8" x14ac:dyDescent="0.25">
      <c r="C43" s="2"/>
      <c r="E43" s="40"/>
      <c r="H43" s="42">
        <f>H42+INVENTARIO[[#This Row],[VALOR]]</f>
        <v>31439.65</v>
      </c>
    </row>
    <row r="44" spans="3:8" x14ac:dyDescent="0.25">
      <c r="C44" s="2"/>
      <c r="E44" s="40"/>
      <c r="H44" s="42">
        <f>H43+INVENTARIO[[#This Row],[VALOR]]</f>
        <v>31439.65</v>
      </c>
    </row>
    <row r="45" spans="3:8" x14ac:dyDescent="0.25">
      <c r="C45" s="2"/>
      <c r="E45" s="40"/>
      <c r="H45" s="42">
        <f>H44+INVENTARIO[[#This Row],[VALOR]]</f>
        <v>31439.65</v>
      </c>
    </row>
    <row r="46" spans="3:8" x14ac:dyDescent="0.25">
      <c r="C46" s="2"/>
      <c r="E46" s="40"/>
      <c r="H46" s="42">
        <f>H45+INVENTARIO[[#This Row],[VALOR]]</f>
        <v>31439.65</v>
      </c>
    </row>
    <row r="47" spans="3:8" x14ac:dyDescent="0.25">
      <c r="C47" s="2"/>
      <c r="E47" s="40"/>
      <c r="H47" s="42">
        <f>H46+INVENTARIO[[#This Row],[VALOR]]</f>
        <v>31439.65</v>
      </c>
    </row>
    <row r="48" spans="3:8" x14ac:dyDescent="0.25">
      <c r="C48" s="2"/>
      <c r="E48" s="40"/>
      <c r="H48" s="42">
        <f>H47+INVENTARIO[[#This Row],[VALOR]]</f>
        <v>31439.65</v>
      </c>
    </row>
    <row r="49" spans="3:8" x14ac:dyDescent="0.25">
      <c r="C49" s="2"/>
      <c r="E49" s="40"/>
      <c r="H49" s="42">
        <f>H48+INVENTARIO[[#This Row],[VALOR]]</f>
        <v>31439.65</v>
      </c>
    </row>
    <row r="50" spans="3:8" x14ac:dyDescent="0.25">
      <c r="C50" s="2"/>
      <c r="E50" s="40"/>
      <c r="H50" s="42">
        <f>H49+INVENTARIO[[#This Row],[VALOR]]</f>
        <v>31439.65</v>
      </c>
    </row>
    <row r="51" spans="3:8" x14ac:dyDescent="0.25">
      <c r="C51" s="2"/>
      <c r="E51" s="40"/>
      <c r="H51" s="42">
        <f>H50+INVENTARIO[[#This Row],[VALOR]]</f>
        <v>31439.65</v>
      </c>
    </row>
    <row r="52" spans="3:8" x14ac:dyDescent="0.25">
      <c r="C52" s="2"/>
      <c r="E52" s="40"/>
      <c r="H52" s="42">
        <f>H51+INVENTARIO[[#This Row],[VALOR]]</f>
        <v>31439.65</v>
      </c>
    </row>
    <row r="53" spans="3:8" x14ac:dyDescent="0.25">
      <c r="C53" s="2"/>
      <c r="E53" s="40"/>
      <c r="H53" s="42">
        <f>H52+INVENTARIO[[#This Row],[VALOR]]</f>
        <v>31439.65</v>
      </c>
    </row>
    <row r="54" spans="3:8" x14ac:dyDescent="0.25">
      <c r="C54" s="2"/>
      <c r="E54" s="40"/>
      <c r="H54" s="42">
        <f>H53+INVENTARIO[[#This Row],[VALOR]]</f>
        <v>31439.65</v>
      </c>
    </row>
    <row r="55" spans="3:8" x14ac:dyDescent="0.25">
      <c r="C55" s="2"/>
      <c r="E55" s="40"/>
      <c r="H55" s="42">
        <f>H54+INVENTARIO[[#This Row],[VALOR]]</f>
        <v>31439.65</v>
      </c>
    </row>
    <row r="56" spans="3:8" x14ac:dyDescent="0.25">
      <c r="C56" s="2"/>
      <c r="E56" s="40"/>
      <c r="H56" s="42">
        <f>H55+INVENTARIO[[#This Row],[VALOR]]</f>
        <v>31439.65</v>
      </c>
    </row>
    <row r="57" spans="3:8" x14ac:dyDescent="0.25">
      <c r="C57" s="2"/>
      <c r="E57" s="40"/>
      <c r="H57" s="42">
        <f>H56+INVENTARIO[[#This Row],[VALOR]]</f>
        <v>31439.65</v>
      </c>
    </row>
    <row r="58" spans="3:8" x14ac:dyDescent="0.25">
      <c r="C58" s="2"/>
      <c r="E58" s="40"/>
      <c r="H58" s="42">
        <f>H57+INVENTARIO[[#This Row],[VALOR]]</f>
        <v>31439.65</v>
      </c>
    </row>
    <row r="59" spans="3:8" x14ac:dyDescent="0.25">
      <c r="C59" s="2"/>
      <c r="E59" s="40"/>
      <c r="H59" s="42">
        <f>H58+INVENTARIO[[#This Row],[VALOR]]</f>
        <v>31439.65</v>
      </c>
    </row>
    <row r="60" spans="3:8" x14ac:dyDescent="0.25">
      <c r="C60" s="2"/>
      <c r="E60" s="40"/>
      <c r="H60" s="42">
        <f>H59+INVENTARIO[[#This Row],[VALOR]]</f>
        <v>31439.65</v>
      </c>
    </row>
    <row r="61" spans="3:8" x14ac:dyDescent="0.25">
      <c r="C61" s="2"/>
      <c r="E61" s="40"/>
      <c r="H61" s="42">
        <f>H60+INVENTARIO[[#This Row],[VALOR]]</f>
        <v>31439.65</v>
      </c>
    </row>
    <row r="62" spans="3:8" x14ac:dyDescent="0.25">
      <c r="C62" s="2"/>
      <c r="E62" s="40"/>
      <c r="H62" s="42">
        <f>H61+INVENTARIO[[#This Row],[VALOR]]</f>
        <v>31439.65</v>
      </c>
    </row>
    <row r="63" spans="3:8" x14ac:dyDescent="0.25">
      <c r="C63" s="2"/>
      <c r="E63" s="40"/>
      <c r="H63" s="42">
        <f>H62+INVENTARIO[[#This Row],[VALOR]]</f>
        <v>31439.65</v>
      </c>
    </row>
    <row r="64" spans="3:8" x14ac:dyDescent="0.25">
      <c r="C64" s="2"/>
      <c r="E64" s="40"/>
      <c r="H64" s="42">
        <f>H63+INVENTARIO[[#This Row],[VALOR]]</f>
        <v>31439.65</v>
      </c>
    </row>
    <row r="65" spans="3:8" x14ac:dyDescent="0.25">
      <c r="C65" s="2"/>
      <c r="E65" s="40"/>
      <c r="H65" s="42">
        <f>H64+INVENTARIO[[#This Row],[VALOR]]</f>
        <v>31439.65</v>
      </c>
    </row>
    <row r="66" spans="3:8" x14ac:dyDescent="0.25">
      <c r="C66" s="2"/>
      <c r="E66" s="40"/>
      <c r="H66" s="42">
        <f>H65+INVENTARIO[[#This Row],[VALOR]]</f>
        <v>31439.65</v>
      </c>
    </row>
    <row r="67" spans="3:8" x14ac:dyDescent="0.25">
      <c r="C67" s="2"/>
      <c r="E67" s="40"/>
      <c r="H67" s="42">
        <f>H66+INVENTARIO[[#This Row],[VALOR]]</f>
        <v>31439.65</v>
      </c>
    </row>
    <row r="68" spans="3:8" x14ac:dyDescent="0.25">
      <c r="C68" s="2"/>
      <c r="E68" s="40"/>
      <c r="H68" s="42">
        <f>H67+INVENTARIO[[#This Row],[VALOR]]</f>
        <v>31439.65</v>
      </c>
    </row>
    <row r="69" spans="3:8" x14ac:dyDescent="0.25">
      <c r="C69" s="2"/>
      <c r="E69" s="40"/>
      <c r="H69" s="42">
        <f>H68+INVENTARIO[[#This Row],[VALOR]]</f>
        <v>31439.65</v>
      </c>
    </row>
    <row r="70" spans="3:8" x14ac:dyDescent="0.25">
      <c r="C70" s="2"/>
      <c r="E70" s="40"/>
      <c r="H70" s="42">
        <f>H69+INVENTARIO[[#This Row],[VALOR]]</f>
        <v>31439.65</v>
      </c>
    </row>
    <row r="71" spans="3:8" x14ac:dyDescent="0.25">
      <c r="C71" s="2"/>
      <c r="E71" s="40"/>
      <c r="H71" s="42">
        <f>H70+INVENTARIO[[#This Row],[VALOR]]</f>
        <v>31439.65</v>
      </c>
    </row>
    <row r="72" spans="3:8" x14ac:dyDescent="0.25">
      <c r="C72" s="2"/>
      <c r="E72" s="40"/>
      <c r="H72" s="42">
        <f>H71+INVENTARIO[[#This Row],[VALOR]]</f>
        <v>31439.65</v>
      </c>
    </row>
    <row r="73" spans="3:8" x14ac:dyDescent="0.25">
      <c r="C73" s="2"/>
      <c r="E73" s="40"/>
      <c r="H73" s="42">
        <f>H72+INVENTARIO[[#This Row],[VALOR]]</f>
        <v>31439.65</v>
      </c>
    </row>
    <row r="74" spans="3:8" x14ac:dyDescent="0.25">
      <c r="C74" s="2"/>
      <c r="E74" s="40"/>
      <c r="H74" s="42">
        <f>H73+INVENTARIO[[#This Row],[VALOR]]</f>
        <v>31439.65</v>
      </c>
    </row>
    <row r="75" spans="3:8" x14ac:dyDescent="0.25">
      <c r="C75" s="2"/>
      <c r="E75" s="40"/>
      <c r="H75" s="42">
        <f>H74+INVENTARIO[[#This Row],[VALOR]]</f>
        <v>31439.65</v>
      </c>
    </row>
    <row r="76" spans="3:8" x14ac:dyDescent="0.25">
      <c r="C76" s="2"/>
      <c r="E76" s="40"/>
      <c r="H76" s="42">
        <f>H75+INVENTARIO[[#This Row],[VALOR]]</f>
        <v>31439.65</v>
      </c>
    </row>
    <row r="77" spans="3:8" x14ac:dyDescent="0.25">
      <c r="C77" s="2"/>
      <c r="E77" s="40"/>
      <c r="H77" s="42">
        <f>H76+INVENTARIO[[#This Row],[VALOR]]</f>
        <v>31439.65</v>
      </c>
    </row>
    <row r="78" spans="3:8" x14ac:dyDescent="0.25">
      <c r="C78" s="2"/>
      <c r="E78" s="40"/>
      <c r="H78" s="42">
        <f>H77+INVENTARIO[[#This Row],[VALOR]]</f>
        <v>31439.65</v>
      </c>
    </row>
    <row r="79" spans="3:8" x14ac:dyDescent="0.25">
      <c r="C79" s="2"/>
      <c r="E79" s="40"/>
      <c r="H79" s="42">
        <f>H78+INVENTARIO[[#This Row],[VALOR]]</f>
        <v>31439.65</v>
      </c>
    </row>
    <row r="80" spans="3:8" x14ac:dyDescent="0.25">
      <c r="C80" s="2"/>
      <c r="E80" s="40"/>
      <c r="H80" s="42">
        <f>H79+INVENTARIO[[#This Row],[VALOR]]</f>
        <v>31439.65</v>
      </c>
    </row>
    <row r="81" spans="3:8" x14ac:dyDescent="0.25">
      <c r="C81" s="2"/>
      <c r="E81" s="40"/>
      <c r="H81" s="42">
        <f>H80+INVENTARIO[[#This Row],[VALOR]]</f>
        <v>31439.65</v>
      </c>
    </row>
    <row r="82" spans="3:8" x14ac:dyDescent="0.25">
      <c r="C82" s="2"/>
      <c r="E82" s="40"/>
      <c r="H82" s="42">
        <f>H81+INVENTARIO[[#This Row],[VALOR]]</f>
        <v>31439.65</v>
      </c>
    </row>
    <row r="83" spans="3:8" x14ac:dyDescent="0.25">
      <c r="C83" s="2"/>
      <c r="E83" s="40"/>
      <c r="H83" s="42">
        <f>H82+INVENTARIO[[#This Row],[VALOR]]</f>
        <v>31439.65</v>
      </c>
    </row>
    <row r="84" spans="3:8" x14ac:dyDescent="0.25">
      <c r="C84" s="2"/>
      <c r="E84" s="40"/>
      <c r="H84" s="42">
        <f>H83+INVENTARIO[[#This Row],[VALOR]]</f>
        <v>31439.65</v>
      </c>
    </row>
    <row r="85" spans="3:8" x14ac:dyDescent="0.25">
      <c r="C85" s="2"/>
      <c r="E85" s="40"/>
      <c r="H85" s="42">
        <f>H84+INVENTARIO[[#This Row],[VALOR]]</f>
        <v>31439.65</v>
      </c>
    </row>
    <row r="86" spans="3:8" x14ac:dyDescent="0.25">
      <c r="C86" s="2"/>
      <c r="E86" s="40"/>
      <c r="H86" s="42">
        <f>H85+INVENTARIO[[#This Row],[VALOR]]</f>
        <v>31439.65</v>
      </c>
    </row>
    <row r="87" spans="3:8" x14ac:dyDescent="0.25">
      <c r="C87" s="2"/>
      <c r="E87" s="40"/>
      <c r="H87" s="42">
        <f>H86+INVENTARIO[[#This Row],[VALOR]]</f>
        <v>31439.65</v>
      </c>
    </row>
    <row r="88" spans="3:8" x14ac:dyDescent="0.25">
      <c r="C88" s="2"/>
      <c r="E88" s="40"/>
      <c r="H88" s="42">
        <f>H87+INVENTARIO[[#This Row],[VALOR]]</f>
        <v>31439.65</v>
      </c>
    </row>
    <row r="89" spans="3:8" x14ac:dyDescent="0.25">
      <c r="C89" s="2"/>
      <c r="E89" s="40"/>
      <c r="H89" s="42">
        <f>H88+INVENTARIO[[#This Row],[VALOR]]</f>
        <v>31439.65</v>
      </c>
    </row>
    <row r="90" spans="3:8" x14ac:dyDescent="0.25">
      <c r="C90" s="2"/>
      <c r="E90" s="40"/>
      <c r="H90" s="42">
        <f>H89+INVENTARIO[[#This Row],[VALOR]]</f>
        <v>31439.65</v>
      </c>
    </row>
    <row r="91" spans="3:8" x14ac:dyDescent="0.25">
      <c r="C91" s="2"/>
      <c r="E91" s="40"/>
      <c r="H91" s="42">
        <f>H90+INVENTARIO[[#This Row],[VALOR]]</f>
        <v>31439.65</v>
      </c>
    </row>
    <row r="92" spans="3:8" x14ac:dyDescent="0.25">
      <c r="C92" s="2"/>
      <c r="E92" s="40"/>
      <c r="H92" s="42">
        <f>H91+INVENTARIO[[#This Row],[VALOR]]</f>
        <v>31439.65</v>
      </c>
    </row>
    <row r="93" spans="3:8" x14ac:dyDescent="0.25">
      <c r="C93" s="2"/>
      <c r="E93" s="40"/>
      <c r="H93" s="42">
        <f>H92+INVENTARIO[[#This Row],[VALOR]]</f>
        <v>31439.65</v>
      </c>
    </row>
    <row r="94" spans="3:8" x14ac:dyDescent="0.25">
      <c r="C94" s="2"/>
      <c r="E94" s="40"/>
      <c r="H94" s="42">
        <f>H93+INVENTARIO[[#This Row],[VALOR]]</f>
        <v>31439.65</v>
      </c>
    </row>
    <row r="95" spans="3:8" x14ac:dyDescent="0.25">
      <c r="C95" s="2"/>
      <c r="E95" s="40"/>
      <c r="H95" s="42">
        <f>H94+INVENTARIO[[#This Row],[VALOR]]</f>
        <v>31439.65</v>
      </c>
    </row>
    <row r="96" spans="3:8" x14ac:dyDescent="0.25">
      <c r="C96" s="2"/>
      <c r="E96" s="40"/>
      <c r="H96" s="42">
        <f>H95+INVENTARIO[[#This Row],[VALOR]]</f>
        <v>31439.65</v>
      </c>
    </row>
    <row r="97" spans="3:8" x14ac:dyDescent="0.25">
      <c r="C97" s="2"/>
      <c r="E97" s="40"/>
      <c r="H97" s="42">
        <f>H96+INVENTARIO[[#This Row],[VALOR]]</f>
        <v>31439.65</v>
      </c>
    </row>
    <row r="98" spans="3:8" x14ac:dyDescent="0.25">
      <c r="C98" s="2"/>
      <c r="E98" s="40"/>
      <c r="H98" s="42">
        <f>H97+INVENTARIO[[#This Row],[VALOR]]</f>
        <v>31439.65</v>
      </c>
    </row>
    <row r="99" spans="3:8" x14ac:dyDescent="0.25">
      <c r="C99" s="2"/>
      <c r="E99" s="40"/>
      <c r="H99" s="42">
        <f>H98+INVENTARIO[[#This Row],[VALOR]]</f>
        <v>31439.65</v>
      </c>
    </row>
    <row r="100" spans="3:8" x14ac:dyDescent="0.25">
      <c r="C100" s="2"/>
      <c r="E100" s="40"/>
      <c r="H100" s="42">
        <f>H99+INVENTARIO[[#This Row],[VALOR]]</f>
        <v>31439.65</v>
      </c>
    </row>
    <row r="101" spans="3:8" x14ac:dyDescent="0.25">
      <c r="C101" s="2"/>
      <c r="E101" s="40"/>
      <c r="H101" s="42">
        <f>H100+INVENTARIO[[#This Row],[VALOR]]</f>
        <v>31439.65</v>
      </c>
    </row>
    <row r="102" spans="3:8" x14ac:dyDescent="0.25">
      <c r="C102" s="2"/>
      <c r="E102" s="40"/>
      <c r="H102" s="42">
        <f>H101+INVENTARIO[[#This Row],[VALOR]]</f>
        <v>31439.65</v>
      </c>
    </row>
    <row r="103" spans="3:8" x14ac:dyDescent="0.25">
      <c r="C103" s="2"/>
      <c r="E103" s="40"/>
      <c r="H103" s="42">
        <f>H102+INVENTARIO[[#This Row],[VALOR]]</f>
        <v>31439.65</v>
      </c>
    </row>
    <row r="104" spans="3:8" x14ac:dyDescent="0.25">
      <c r="C104" s="2"/>
      <c r="E104" s="40"/>
      <c r="H104" s="42">
        <f>H103+INVENTARIO[[#This Row],[VALOR]]</f>
        <v>31439.65</v>
      </c>
    </row>
    <row r="105" spans="3:8" x14ac:dyDescent="0.25">
      <c r="C105" s="2"/>
      <c r="E105" s="40"/>
      <c r="H105" s="42">
        <f>H104+INVENTARIO[[#This Row],[VALOR]]</f>
        <v>31439.65</v>
      </c>
    </row>
    <row r="106" spans="3:8" x14ac:dyDescent="0.25">
      <c r="C106" s="2"/>
      <c r="E106" s="40"/>
      <c r="H106" s="42">
        <f>H105+INVENTARIO[[#This Row],[VALOR]]</f>
        <v>31439.65</v>
      </c>
    </row>
    <row r="107" spans="3:8" x14ac:dyDescent="0.25">
      <c r="C107" s="2"/>
      <c r="E107" s="40"/>
      <c r="H107" s="42">
        <f>H106+INVENTARIO[[#This Row],[VALOR]]</f>
        <v>31439.65</v>
      </c>
    </row>
    <row r="108" spans="3:8" x14ac:dyDescent="0.25">
      <c r="C108" s="2"/>
      <c r="E108" s="40"/>
      <c r="H108" s="42">
        <f>H107+INVENTARIO[[#This Row],[VALOR]]</f>
        <v>31439.65</v>
      </c>
    </row>
    <row r="109" spans="3:8" x14ac:dyDescent="0.25">
      <c r="C109" s="2"/>
      <c r="E109" s="40"/>
      <c r="H109" s="42">
        <f>H108+INVENTARIO[[#This Row],[VALOR]]</f>
        <v>31439.65</v>
      </c>
    </row>
    <row r="110" spans="3:8" x14ac:dyDescent="0.25">
      <c r="C110" s="2"/>
      <c r="E110" s="40"/>
      <c r="H110" s="42">
        <f>H109+INVENTARIO[[#This Row],[VALOR]]</f>
        <v>31439.65</v>
      </c>
    </row>
    <row r="111" spans="3:8" x14ac:dyDescent="0.25">
      <c r="C111" s="2"/>
      <c r="E111" s="40"/>
      <c r="H111" s="42">
        <f>H110+INVENTARIO[[#This Row],[VALOR]]</f>
        <v>31439.65</v>
      </c>
    </row>
    <row r="112" spans="3:8" x14ac:dyDescent="0.25">
      <c r="C112" s="2"/>
      <c r="E112" s="40"/>
      <c r="H112" s="42">
        <f>H111+INVENTARIO[[#This Row],[VALOR]]</f>
        <v>31439.65</v>
      </c>
    </row>
    <row r="113" spans="3:8" x14ac:dyDescent="0.25">
      <c r="C113" s="2"/>
      <c r="E113" s="40"/>
      <c r="H113" s="42">
        <f>H112+INVENTARIO[[#This Row],[VALOR]]</f>
        <v>31439.65</v>
      </c>
    </row>
    <row r="114" spans="3:8" x14ac:dyDescent="0.25">
      <c r="C114" s="2"/>
      <c r="E114" s="40"/>
      <c r="H114" s="42">
        <f>H113+INVENTARIO[[#This Row],[VALOR]]</f>
        <v>31439.65</v>
      </c>
    </row>
    <row r="115" spans="3:8" x14ac:dyDescent="0.25">
      <c r="C115" s="2"/>
      <c r="E115" s="40"/>
      <c r="H115" s="42">
        <f>H114+INVENTARIO[[#This Row],[VALOR]]</f>
        <v>31439.65</v>
      </c>
    </row>
    <row r="116" spans="3:8" x14ac:dyDescent="0.25">
      <c r="C116" s="2"/>
      <c r="E116" s="40"/>
      <c r="H116" s="42">
        <f>H115+INVENTARIO[[#This Row],[VALOR]]</f>
        <v>31439.65</v>
      </c>
    </row>
    <row r="117" spans="3:8" x14ac:dyDescent="0.25">
      <c r="C117" s="2"/>
      <c r="E117" s="40"/>
      <c r="H117" s="42">
        <f>H116+INVENTARIO[[#This Row],[VALOR]]</f>
        <v>31439.65</v>
      </c>
    </row>
    <row r="118" spans="3:8" x14ac:dyDescent="0.25">
      <c r="C118" s="2"/>
      <c r="E118" s="40"/>
      <c r="H118" s="42">
        <f>H117+INVENTARIO[[#This Row],[VALOR]]</f>
        <v>31439.65</v>
      </c>
    </row>
    <row r="119" spans="3:8" x14ac:dyDescent="0.25">
      <c r="C119" s="2"/>
      <c r="E119" s="40"/>
      <c r="H119" s="42">
        <f>H118+INVENTARIO[[#This Row],[VALOR]]</f>
        <v>31439.65</v>
      </c>
    </row>
    <row r="120" spans="3:8" x14ac:dyDescent="0.25">
      <c r="C120" s="2"/>
      <c r="E120" s="40"/>
      <c r="H120" s="42">
        <f>H119+INVENTARIO[[#This Row],[VALOR]]</f>
        <v>31439.65</v>
      </c>
    </row>
    <row r="121" spans="3:8" x14ac:dyDescent="0.25">
      <c r="C121" s="2"/>
      <c r="E121" s="40"/>
      <c r="H121" s="42">
        <f>H120+INVENTARIO[[#This Row],[VALOR]]</f>
        <v>31439.65</v>
      </c>
    </row>
    <row r="122" spans="3:8" x14ac:dyDescent="0.25">
      <c r="C122" s="2"/>
      <c r="E122" s="40"/>
      <c r="H122" s="42">
        <f>H121+INVENTARIO[[#This Row],[VALOR]]</f>
        <v>31439.65</v>
      </c>
    </row>
    <row r="123" spans="3:8" x14ac:dyDescent="0.25">
      <c r="C123" s="2"/>
      <c r="E123" s="40"/>
      <c r="H123" s="42">
        <f>H122+INVENTARIO[[#This Row],[VALOR]]</f>
        <v>31439.65</v>
      </c>
    </row>
    <row r="124" spans="3:8" x14ac:dyDescent="0.25">
      <c r="C124" s="2"/>
      <c r="E124" s="40"/>
      <c r="H124" s="42">
        <f>H123+INVENTARIO[[#This Row],[VALOR]]</f>
        <v>31439.65</v>
      </c>
    </row>
    <row r="125" spans="3:8" x14ac:dyDescent="0.25">
      <c r="C125" s="2"/>
      <c r="E125" s="40"/>
      <c r="H125" s="42">
        <f>H124+INVENTARIO[[#This Row],[VALOR]]</f>
        <v>31439.65</v>
      </c>
    </row>
    <row r="126" spans="3:8" x14ac:dyDescent="0.25">
      <c r="C126" s="2"/>
      <c r="E126" s="40"/>
      <c r="H126" s="42">
        <f>H125+INVENTARIO[[#This Row],[VALOR]]</f>
        <v>31439.65</v>
      </c>
    </row>
    <row r="127" spans="3:8" x14ac:dyDescent="0.25">
      <c r="C127" s="2"/>
      <c r="E127" s="40"/>
      <c r="H127" s="42">
        <f>H126+INVENTARIO[[#This Row],[VALOR]]</f>
        <v>31439.65</v>
      </c>
    </row>
    <row r="128" spans="3:8" x14ac:dyDescent="0.25">
      <c r="C128" s="2"/>
      <c r="E128" s="40"/>
      <c r="H128" s="42">
        <f>H127+INVENTARIO[[#This Row],[VALOR]]</f>
        <v>31439.65</v>
      </c>
    </row>
    <row r="129" spans="3:8" x14ac:dyDescent="0.25">
      <c r="C129" s="2"/>
      <c r="E129" s="40"/>
      <c r="H129" s="42">
        <f>H128+INVENTARIO[[#This Row],[VALOR]]</f>
        <v>31439.65</v>
      </c>
    </row>
    <row r="130" spans="3:8" x14ac:dyDescent="0.25">
      <c r="C130" s="2"/>
      <c r="E130" s="40"/>
      <c r="H130" s="42">
        <f>H129+INVENTARIO[[#This Row],[VALOR]]</f>
        <v>31439.65</v>
      </c>
    </row>
    <row r="131" spans="3:8" x14ac:dyDescent="0.25">
      <c r="C131" s="2"/>
      <c r="E131" s="40"/>
      <c r="H131" s="42">
        <f>H130+INVENTARIO[[#This Row],[VALOR]]</f>
        <v>31439.65</v>
      </c>
    </row>
    <row r="132" spans="3:8" x14ac:dyDescent="0.25">
      <c r="C132" s="2"/>
      <c r="E132" s="40"/>
      <c r="H132" s="42">
        <f>H131+INVENTARIO[[#This Row],[VALOR]]</f>
        <v>31439.65</v>
      </c>
    </row>
    <row r="133" spans="3:8" x14ac:dyDescent="0.25">
      <c r="C133" s="2"/>
      <c r="E133" s="40"/>
      <c r="H133" s="42">
        <f>H132+INVENTARIO[[#This Row],[VALOR]]</f>
        <v>31439.65</v>
      </c>
    </row>
    <row r="134" spans="3:8" x14ac:dyDescent="0.25">
      <c r="C134" s="2"/>
      <c r="E134" s="40"/>
      <c r="H134" s="42">
        <f>H133+INVENTARIO[[#This Row],[VALOR]]</f>
        <v>31439.65</v>
      </c>
    </row>
    <row r="135" spans="3:8" x14ac:dyDescent="0.25">
      <c r="C135" s="2"/>
      <c r="E135" s="40"/>
      <c r="H135" s="42">
        <f>H134+INVENTARIO[[#This Row],[VALOR]]</f>
        <v>31439.65</v>
      </c>
    </row>
    <row r="136" spans="3:8" x14ac:dyDescent="0.25">
      <c r="C136" s="2"/>
      <c r="E136" s="40"/>
      <c r="H136" s="42">
        <f>H135+INVENTARIO[[#This Row],[VALOR]]</f>
        <v>31439.65</v>
      </c>
    </row>
    <row r="137" spans="3:8" x14ac:dyDescent="0.25">
      <c r="C137" s="2"/>
      <c r="E137" s="40"/>
      <c r="H137" s="42">
        <f>H136+INVENTARIO[[#This Row],[VALOR]]</f>
        <v>31439.65</v>
      </c>
    </row>
    <row r="138" spans="3:8" x14ac:dyDescent="0.25">
      <c r="C138" s="2"/>
      <c r="E138" s="40"/>
      <c r="H138" s="42">
        <f>H137+INVENTARIO[[#This Row],[VALOR]]</f>
        <v>31439.65</v>
      </c>
    </row>
    <row r="139" spans="3:8" x14ac:dyDescent="0.25">
      <c r="C139" s="2"/>
      <c r="E139" s="40"/>
      <c r="H139" s="42">
        <f>H138+INVENTARIO[[#This Row],[VALOR]]</f>
        <v>31439.65</v>
      </c>
    </row>
    <row r="140" spans="3:8" x14ac:dyDescent="0.25">
      <c r="C140" s="2"/>
      <c r="E140" s="40"/>
      <c r="H140" s="42">
        <f>H139+INVENTARIO[[#This Row],[VALOR]]</f>
        <v>31439.65</v>
      </c>
    </row>
    <row r="141" spans="3:8" x14ac:dyDescent="0.25">
      <c r="C141" s="2"/>
      <c r="E141" s="40"/>
      <c r="H141" s="42">
        <f>H140+INVENTARIO[[#This Row],[VALOR]]</f>
        <v>31439.65</v>
      </c>
    </row>
    <row r="142" spans="3:8" x14ac:dyDescent="0.25">
      <c r="C142" s="2"/>
      <c r="E142" s="40"/>
      <c r="H142" s="42">
        <f>H141+INVENTARIO[[#This Row],[VALOR]]</f>
        <v>31439.65</v>
      </c>
    </row>
    <row r="143" spans="3:8" x14ac:dyDescent="0.25">
      <c r="C143" s="2"/>
      <c r="E143" s="40"/>
      <c r="H143" s="42">
        <f>H142+INVENTARIO[[#This Row],[VALOR]]</f>
        <v>31439.65</v>
      </c>
    </row>
    <row r="144" spans="3:8" x14ac:dyDescent="0.25">
      <c r="C144" s="2"/>
      <c r="E144" s="40"/>
      <c r="H144" s="42">
        <f>H143+INVENTARIO[[#This Row],[VALOR]]</f>
        <v>31439.65</v>
      </c>
    </row>
    <row r="145" spans="3:8" x14ac:dyDescent="0.25">
      <c r="C145" s="2"/>
      <c r="E145" s="40"/>
      <c r="H145" s="42">
        <f>H144+INVENTARIO[[#This Row],[VALOR]]</f>
        <v>31439.65</v>
      </c>
    </row>
    <row r="146" spans="3:8" x14ac:dyDescent="0.25">
      <c r="C146" s="2"/>
      <c r="E146" s="40"/>
      <c r="H146" s="42">
        <f>H145+INVENTARIO[[#This Row],[VALOR]]</f>
        <v>31439.65</v>
      </c>
    </row>
    <row r="147" spans="3:8" x14ac:dyDescent="0.25">
      <c r="C147" s="2"/>
      <c r="E147" s="40"/>
      <c r="H147" s="42">
        <f>H146+INVENTARIO[[#This Row],[VALOR]]</f>
        <v>31439.65</v>
      </c>
    </row>
    <row r="148" spans="3:8" x14ac:dyDescent="0.25">
      <c r="C148" s="2"/>
      <c r="E148" s="40"/>
      <c r="H148" s="42">
        <f>H147+INVENTARIO[[#This Row],[VALOR]]</f>
        <v>31439.65</v>
      </c>
    </row>
    <row r="149" spans="3:8" x14ac:dyDescent="0.25">
      <c r="C149" s="2"/>
      <c r="E149" s="40"/>
      <c r="H149" s="42">
        <f>H148+INVENTARIO[[#This Row],[VALOR]]</f>
        <v>31439.65</v>
      </c>
    </row>
    <row r="150" spans="3:8" x14ac:dyDescent="0.25">
      <c r="C150" s="2"/>
      <c r="E150" s="40"/>
      <c r="H150" s="42">
        <f>H149+INVENTARIO[[#This Row],[VALOR]]</f>
        <v>31439.65</v>
      </c>
    </row>
    <row r="151" spans="3:8" x14ac:dyDescent="0.25">
      <c r="C151" s="2"/>
      <c r="E151" s="40"/>
      <c r="H151" s="42">
        <f>H150+INVENTARIO[[#This Row],[VALOR]]</f>
        <v>31439.65</v>
      </c>
    </row>
    <row r="152" spans="3:8" x14ac:dyDescent="0.25">
      <c r="C152" s="2"/>
      <c r="E152" s="40"/>
      <c r="H152" s="42">
        <f>H151+INVENTARIO[[#This Row],[VALOR]]</f>
        <v>31439.65</v>
      </c>
    </row>
    <row r="153" spans="3:8" x14ac:dyDescent="0.25">
      <c r="C153" s="2"/>
      <c r="E153" s="40"/>
      <c r="H153" s="42">
        <f>H152+INVENTARIO[[#This Row],[VALOR]]</f>
        <v>31439.65</v>
      </c>
    </row>
    <row r="154" spans="3:8" x14ac:dyDescent="0.25">
      <c r="C154" s="2"/>
      <c r="E154" s="40"/>
      <c r="H154" s="42">
        <f>H153+INVENTARIO[[#This Row],[VALOR]]</f>
        <v>31439.65</v>
      </c>
    </row>
    <row r="155" spans="3:8" x14ac:dyDescent="0.25">
      <c r="C155" s="2"/>
      <c r="E155" s="40"/>
      <c r="H155" s="42">
        <f>H154+INVENTARIO[[#This Row],[VALOR]]</f>
        <v>31439.65</v>
      </c>
    </row>
    <row r="156" spans="3:8" x14ac:dyDescent="0.25">
      <c r="C156" s="2"/>
      <c r="E156" s="40"/>
      <c r="H156" s="42">
        <f>H155+INVENTARIO[[#This Row],[VALOR]]</f>
        <v>31439.65</v>
      </c>
    </row>
    <row r="157" spans="3:8" x14ac:dyDescent="0.25">
      <c r="C157" s="2"/>
      <c r="E157" s="40"/>
      <c r="H157" s="42">
        <f>H156+INVENTARIO[[#This Row],[VALOR]]</f>
        <v>31439.65</v>
      </c>
    </row>
    <row r="158" spans="3:8" x14ac:dyDescent="0.25">
      <c r="C158" s="2"/>
      <c r="E158" s="40"/>
    </row>
    <row r="159" spans="3:8" x14ac:dyDescent="0.25">
      <c r="C159" s="2"/>
      <c r="E159" s="40"/>
    </row>
    <row r="160" spans="3:8" x14ac:dyDescent="0.25">
      <c r="C160" s="2"/>
      <c r="E160" s="40"/>
    </row>
    <row r="161" spans="3:5" x14ac:dyDescent="0.25">
      <c r="C161" s="2"/>
      <c r="E161" s="40"/>
    </row>
    <row r="162" spans="3:5" x14ac:dyDescent="0.25">
      <c r="C162" s="2"/>
      <c r="E162" s="40"/>
    </row>
    <row r="163" spans="3:5" x14ac:dyDescent="0.25">
      <c r="C163" s="2"/>
      <c r="E163" s="40"/>
    </row>
    <row r="164" spans="3:5" x14ac:dyDescent="0.25">
      <c r="C164" s="2"/>
      <c r="E164" s="40"/>
    </row>
    <row r="165" spans="3:5" x14ac:dyDescent="0.25">
      <c r="C165" s="2"/>
      <c r="E165" s="40"/>
    </row>
    <row r="166" spans="3:5" x14ac:dyDescent="0.25">
      <c r="C166" s="2"/>
      <c r="E166" s="40"/>
    </row>
    <row r="167" spans="3:5" x14ac:dyDescent="0.25">
      <c r="C167" s="2"/>
      <c r="E167" s="40"/>
    </row>
    <row r="168" spans="3:5" x14ac:dyDescent="0.25">
      <c r="C168" s="2"/>
      <c r="E168" s="40"/>
    </row>
    <row r="169" spans="3:5" x14ac:dyDescent="0.25">
      <c r="C169" s="2"/>
      <c r="E169" s="40"/>
    </row>
    <row r="170" spans="3:5" x14ac:dyDescent="0.25">
      <c r="C170" s="2"/>
      <c r="E170" s="40"/>
    </row>
    <row r="171" spans="3:5" x14ac:dyDescent="0.25">
      <c r="C171" s="2"/>
      <c r="E171" s="40"/>
    </row>
    <row r="172" spans="3:5" x14ac:dyDescent="0.25">
      <c r="C172" s="2"/>
      <c r="E172" s="40"/>
    </row>
    <row r="173" spans="3:5" x14ac:dyDescent="0.25">
      <c r="C173" s="2"/>
      <c r="E173" s="40"/>
    </row>
    <row r="174" spans="3:5" x14ac:dyDescent="0.25">
      <c r="C174" s="2"/>
      <c r="E174" s="40"/>
    </row>
    <row r="175" spans="3:5" x14ac:dyDescent="0.25">
      <c r="C175" s="2"/>
      <c r="E175" s="40"/>
    </row>
    <row r="176" spans="3:5" x14ac:dyDescent="0.25">
      <c r="C176" s="2"/>
      <c r="E176" s="40"/>
    </row>
    <row r="177" spans="3:5" x14ac:dyDescent="0.25">
      <c r="C177" s="2"/>
      <c r="E177" s="40"/>
    </row>
    <row r="178" spans="3:5" x14ac:dyDescent="0.25">
      <c r="C178" s="2"/>
      <c r="E178" s="40"/>
    </row>
    <row r="179" spans="3:5" x14ac:dyDescent="0.25">
      <c r="C179" s="2"/>
      <c r="E179" s="40"/>
    </row>
    <row r="180" spans="3:5" x14ac:dyDescent="0.25">
      <c r="C180" s="2"/>
      <c r="E180" s="40"/>
    </row>
    <row r="181" spans="3:5" x14ac:dyDescent="0.25">
      <c r="C181" s="2"/>
      <c r="E181" s="40"/>
    </row>
    <row r="182" spans="3:5" x14ac:dyDescent="0.25">
      <c r="C182" s="2"/>
      <c r="E182" s="40"/>
    </row>
    <row r="183" spans="3:5" x14ac:dyDescent="0.25">
      <c r="C183" s="2"/>
      <c r="E183" s="40"/>
    </row>
    <row r="184" spans="3:5" x14ac:dyDescent="0.25">
      <c r="C184" s="2"/>
      <c r="E184" s="40"/>
    </row>
    <row r="185" spans="3:5" x14ac:dyDescent="0.25">
      <c r="C185" s="2"/>
      <c r="E185" s="40"/>
    </row>
    <row r="186" spans="3:5" x14ac:dyDescent="0.25">
      <c r="C186" s="2"/>
      <c r="E186" s="40"/>
    </row>
    <row r="187" spans="3:5" x14ac:dyDescent="0.25">
      <c r="C187" s="2"/>
      <c r="E187" s="40"/>
    </row>
    <row r="188" spans="3:5" x14ac:dyDescent="0.25">
      <c r="C188" s="2"/>
      <c r="E188" s="40"/>
    </row>
    <row r="189" spans="3:5" x14ac:dyDescent="0.25">
      <c r="C189" s="2"/>
      <c r="E189" s="40"/>
    </row>
    <row r="190" spans="3:5" x14ac:dyDescent="0.25">
      <c r="C190" s="2"/>
      <c r="E190" s="40"/>
    </row>
    <row r="191" spans="3:5" x14ac:dyDescent="0.25">
      <c r="C191" s="2"/>
      <c r="E191" s="40"/>
    </row>
    <row r="192" spans="3:5" x14ac:dyDescent="0.25">
      <c r="C192" s="2"/>
      <c r="E192" s="40"/>
    </row>
    <row r="193" spans="3:5" x14ac:dyDescent="0.25">
      <c r="C193" s="2"/>
      <c r="E193" s="40"/>
    </row>
    <row r="194" spans="3:5" x14ac:dyDescent="0.25">
      <c r="C194" s="2"/>
      <c r="E194" s="40"/>
    </row>
    <row r="195" spans="3:5" x14ac:dyDescent="0.25">
      <c r="C195" s="2"/>
      <c r="E195" s="40"/>
    </row>
    <row r="196" spans="3:5" x14ac:dyDescent="0.25">
      <c r="C196" s="2"/>
      <c r="E196" s="40"/>
    </row>
    <row r="197" spans="3:5" x14ac:dyDescent="0.25">
      <c r="C197" s="2"/>
      <c r="E197" s="40"/>
    </row>
    <row r="198" spans="3:5" x14ac:dyDescent="0.25">
      <c r="C198" s="2"/>
      <c r="E198" s="40"/>
    </row>
    <row r="199" spans="3:5" x14ac:dyDescent="0.25">
      <c r="C199" s="2"/>
      <c r="E199" s="40"/>
    </row>
    <row r="200" spans="3:5" x14ac:dyDescent="0.25">
      <c r="C200" s="2"/>
      <c r="E200" s="40"/>
    </row>
    <row r="201" spans="3:5" x14ac:dyDescent="0.25">
      <c r="C201" s="2"/>
      <c r="E201" s="40"/>
    </row>
    <row r="202" spans="3:5" x14ac:dyDescent="0.25">
      <c r="C202" s="2"/>
      <c r="E202" s="40"/>
    </row>
    <row r="203" spans="3:5" x14ac:dyDescent="0.25">
      <c r="C203" s="2"/>
      <c r="E203" s="40"/>
    </row>
    <row r="204" spans="3:5" x14ac:dyDescent="0.25">
      <c r="C204" s="2"/>
      <c r="E204" s="40"/>
    </row>
    <row r="205" spans="3:5" x14ac:dyDescent="0.25">
      <c r="C205" s="2"/>
      <c r="E205" s="40"/>
    </row>
    <row r="206" spans="3:5" x14ac:dyDescent="0.25">
      <c r="C206" s="2"/>
      <c r="E206" s="40"/>
    </row>
    <row r="207" spans="3:5" x14ac:dyDescent="0.25">
      <c r="C207" s="2"/>
      <c r="E207" s="40"/>
    </row>
    <row r="208" spans="3:5" x14ac:dyDescent="0.25">
      <c r="C208" s="2"/>
      <c r="E208" s="40"/>
    </row>
    <row r="209" spans="3:5" x14ac:dyDescent="0.25">
      <c r="C209" s="2"/>
      <c r="E209" s="40"/>
    </row>
    <row r="210" spans="3:5" x14ac:dyDescent="0.25">
      <c r="C210" s="2"/>
      <c r="E210" s="40"/>
    </row>
    <row r="211" spans="3:5" x14ac:dyDescent="0.25">
      <c r="C211" s="2"/>
      <c r="E211" s="40"/>
    </row>
    <row r="212" spans="3:5" x14ac:dyDescent="0.25">
      <c r="C212" s="2"/>
      <c r="E212" s="40"/>
    </row>
    <row r="213" spans="3:5" x14ac:dyDescent="0.25">
      <c r="C213" s="2"/>
      <c r="E213" s="40"/>
    </row>
    <row r="214" spans="3:5" x14ac:dyDescent="0.25">
      <c r="C214" s="2"/>
      <c r="E214" s="40"/>
    </row>
    <row r="215" spans="3:5" x14ac:dyDescent="0.25">
      <c r="C215" s="2"/>
      <c r="E215" s="40"/>
    </row>
    <row r="216" spans="3:5" x14ac:dyDescent="0.25">
      <c r="C216" s="2"/>
      <c r="E216" s="40"/>
    </row>
    <row r="217" spans="3:5" x14ac:dyDescent="0.25">
      <c r="C217" s="2"/>
      <c r="E217" s="40"/>
    </row>
    <row r="218" spans="3:5" x14ac:dyDescent="0.25">
      <c r="C218" s="2"/>
      <c r="E218" s="40"/>
    </row>
    <row r="219" spans="3:5" x14ac:dyDescent="0.25">
      <c r="C219" s="2"/>
      <c r="E219" s="40"/>
    </row>
    <row r="220" spans="3:5" x14ac:dyDescent="0.25">
      <c r="C220" s="2"/>
      <c r="E220" s="40"/>
    </row>
    <row r="221" spans="3:5" x14ac:dyDescent="0.25">
      <c r="C221" s="2"/>
      <c r="E221" s="40"/>
    </row>
    <row r="222" spans="3:5" x14ac:dyDescent="0.25">
      <c r="C222" s="2"/>
      <c r="E222" s="40"/>
    </row>
    <row r="223" spans="3:5" x14ac:dyDescent="0.25">
      <c r="C223" s="2"/>
      <c r="E223" s="40"/>
    </row>
    <row r="224" spans="3:5" x14ac:dyDescent="0.25">
      <c r="C224" s="2"/>
      <c r="E224" s="40"/>
    </row>
    <row r="225" spans="3:5" x14ac:dyDescent="0.25">
      <c r="C225" s="2"/>
      <c r="E225" s="40"/>
    </row>
    <row r="226" spans="3:5" x14ac:dyDescent="0.25">
      <c r="C226" s="2"/>
      <c r="E226" s="40"/>
    </row>
    <row r="227" spans="3:5" x14ac:dyDescent="0.25">
      <c r="C227" s="2"/>
      <c r="E227" s="40"/>
    </row>
    <row r="228" spans="3:5" x14ac:dyDescent="0.25">
      <c r="C228" s="2"/>
      <c r="E228" s="40"/>
    </row>
    <row r="229" spans="3:5" x14ac:dyDescent="0.25">
      <c r="C229" s="2"/>
      <c r="E229" s="40"/>
    </row>
    <row r="230" spans="3:5" x14ac:dyDescent="0.25">
      <c r="C230" s="2"/>
      <c r="E230" s="40"/>
    </row>
    <row r="231" spans="3:5" x14ac:dyDescent="0.25">
      <c r="C231" s="2"/>
      <c r="E231" s="40"/>
    </row>
    <row r="232" spans="3:5" x14ac:dyDescent="0.25">
      <c r="C232" s="2"/>
      <c r="E232" s="40"/>
    </row>
    <row r="233" spans="3:5" x14ac:dyDescent="0.25">
      <c r="C233" s="2"/>
      <c r="E233" s="40"/>
    </row>
    <row r="234" spans="3:5" x14ac:dyDescent="0.25">
      <c r="C234" s="2"/>
      <c r="E234" s="40"/>
    </row>
    <row r="235" spans="3:5" x14ac:dyDescent="0.25">
      <c r="C235" s="2"/>
      <c r="E235" s="40"/>
    </row>
    <row r="236" spans="3:5" x14ac:dyDescent="0.25">
      <c r="C236" s="2"/>
      <c r="E236" s="40"/>
    </row>
    <row r="237" spans="3:5" x14ac:dyDescent="0.25">
      <c r="C237" s="2"/>
      <c r="E237" s="40"/>
    </row>
    <row r="238" spans="3:5" x14ac:dyDescent="0.25">
      <c r="C238" s="2"/>
      <c r="E238" s="40"/>
    </row>
    <row r="239" spans="3:5" x14ac:dyDescent="0.25">
      <c r="C239" s="2"/>
      <c r="E239" s="40"/>
    </row>
    <row r="240" spans="3:5" x14ac:dyDescent="0.25">
      <c r="C240" s="2"/>
      <c r="E240" s="40"/>
    </row>
    <row r="241" spans="3:5" x14ac:dyDescent="0.25">
      <c r="C241" s="2"/>
      <c r="E241" s="40"/>
    </row>
    <row r="242" spans="3:5" x14ac:dyDescent="0.25">
      <c r="C242" s="2"/>
      <c r="E242" s="40"/>
    </row>
    <row r="243" spans="3:5" x14ac:dyDescent="0.25">
      <c r="C243" s="2"/>
      <c r="E243" s="40"/>
    </row>
    <row r="244" spans="3:5" x14ac:dyDescent="0.25">
      <c r="C244" s="2"/>
      <c r="E244" s="40"/>
    </row>
    <row r="245" spans="3:5" x14ac:dyDescent="0.25">
      <c r="C245" s="2"/>
      <c r="E245" s="40"/>
    </row>
    <row r="246" spans="3:5" x14ac:dyDescent="0.25">
      <c r="C246" s="2"/>
      <c r="E246" s="40"/>
    </row>
    <row r="247" spans="3:5" x14ac:dyDescent="0.25">
      <c r="C247" s="2"/>
      <c r="E247" s="40"/>
    </row>
    <row r="248" spans="3:5" x14ac:dyDescent="0.25">
      <c r="C248" s="2"/>
      <c r="E248" s="40"/>
    </row>
    <row r="249" spans="3:5" x14ac:dyDescent="0.25">
      <c r="C249" s="2"/>
      <c r="E249" s="40"/>
    </row>
    <row r="250" spans="3:5" x14ac:dyDescent="0.25">
      <c r="C250" s="2"/>
      <c r="E250" s="40"/>
    </row>
    <row r="251" spans="3:5" x14ac:dyDescent="0.25">
      <c r="C251" s="2"/>
      <c r="E251" s="40"/>
    </row>
    <row r="252" spans="3:5" x14ac:dyDescent="0.25">
      <c r="C252" s="2"/>
      <c r="E252" s="40"/>
    </row>
    <row r="253" spans="3:5" x14ac:dyDescent="0.25">
      <c r="C253" s="2"/>
      <c r="E253" s="40"/>
    </row>
    <row r="254" spans="3:5" x14ac:dyDescent="0.25">
      <c r="C254" s="2"/>
      <c r="E254" s="40"/>
    </row>
    <row r="255" spans="3:5" x14ac:dyDescent="0.25">
      <c r="C255" s="2"/>
      <c r="E255" s="40"/>
    </row>
    <row r="256" spans="3:5" x14ac:dyDescent="0.25">
      <c r="C256" s="2"/>
      <c r="E256" s="40"/>
    </row>
    <row r="257" spans="3:5" x14ac:dyDescent="0.25">
      <c r="C257" s="2"/>
      <c r="E257" s="40"/>
    </row>
    <row r="258" spans="3:5" x14ac:dyDescent="0.25">
      <c r="C258" s="2"/>
      <c r="E258" s="40"/>
    </row>
    <row r="259" spans="3:5" x14ac:dyDescent="0.25">
      <c r="C259" s="2"/>
      <c r="E259" s="40"/>
    </row>
    <row r="260" spans="3:5" x14ac:dyDescent="0.25">
      <c r="C260" s="2"/>
      <c r="E260" s="40"/>
    </row>
    <row r="261" spans="3:5" x14ac:dyDescent="0.25">
      <c r="C261" s="2"/>
      <c r="E261" s="40"/>
    </row>
    <row r="262" spans="3:5" x14ac:dyDescent="0.25">
      <c r="C262" s="2"/>
      <c r="E262" s="40"/>
    </row>
    <row r="263" spans="3:5" x14ac:dyDescent="0.25">
      <c r="C263" s="2"/>
      <c r="E263" s="40"/>
    </row>
    <row r="264" spans="3:5" x14ac:dyDescent="0.25">
      <c r="C264" s="2"/>
      <c r="E264" s="40"/>
    </row>
    <row r="265" spans="3:5" x14ac:dyDescent="0.25">
      <c r="C265" s="2"/>
      <c r="E265" s="40"/>
    </row>
    <row r="266" spans="3:5" x14ac:dyDescent="0.25">
      <c r="C266" s="2"/>
      <c r="E266" s="40"/>
    </row>
    <row r="267" spans="3:5" x14ac:dyDescent="0.25">
      <c r="C267" s="2"/>
      <c r="E267" s="40"/>
    </row>
    <row r="268" spans="3:5" x14ac:dyDescent="0.25">
      <c r="C268" s="2"/>
      <c r="E268" s="40"/>
    </row>
    <row r="269" spans="3:5" x14ac:dyDescent="0.25">
      <c r="C269" s="2"/>
      <c r="E269" s="40"/>
    </row>
    <row r="270" spans="3:5" x14ac:dyDescent="0.25">
      <c r="C270" s="2"/>
      <c r="E270" s="40"/>
    </row>
    <row r="271" spans="3:5" x14ac:dyDescent="0.25">
      <c r="C271" s="2"/>
      <c r="E271" s="40"/>
    </row>
    <row r="272" spans="3:5" x14ac:dyDescent="0.25">
      <c r="C272" s="2"/>
      <c r="E272" s="40"/>
    </row>
    <row r="273" spans="3:5" x14ac:dyDescent="0.25">
      <c r="C273" s="2"/>
      <c r="E273" s="40"/>
    </row>
    <row r="274" spans="3:5" x14ac:dyDescent="0.25">
      <c r="C274" s="2"/>
      <c r="E274" s="40"/>
    </row>
    <row r="275" spans="3:5" x14ac:dyDescent="0.25">
      <c r="C275" s="2"/>
      <c r="E275" s="40"/>
    </row>
    <row r="276" spans="3:5" x14ac:dyDescent="0.25">
      <c r="C276" s="2"/>
      <c r="E276" s="40"/>
    </row>
    <row r="277" spans="3:5" x14ac:dyDescent="0.25">
      <c r="C277" s="2"/>
      <c r="E277" s="40"/>
    </row>
    <row r="278" spans="3:5" x14ac:dyDescent="0.25">
      <c r="C278" s="2"/>
      <c r="E278" s="40"/>
    </row>
    <row r="279" spans="3:5" x14ac:dyDescent="0.25">
      <c r="C279" s="2"/>
      <c r="E279" s="40"/>
    </row>
    <row r="280" spans="3:5" x14ac:dyDescent="0.25">
      <c r="C280" s="2"/>
      <c r="E280" s="40"/>
    </row>
    <row r="281" spans="3:5" x14ac:dyDescent="0.25">
      <c r="C281" s="2"/>
      <c r="E281" s="40"/>
    </row>
    <row r="282" spans="3:5" x14ac:dyDescent="0.25">
      <c r="C282" s="2"/>
      <c r="E282" s="40"/>
    </row>
    <row r="283" spans="3:5" x14ac:dyDescent="0.25">
      <c r="C283" s="2"/>
      <c r="E283" s="40"/>
    </row>
    <row r="284" spans="3:5" x14ac:dyDescent="0.25">
      <c r="C284" s="2"/>
      <c r="E284" s="40"/>
    </row>
    <row r="285" spans="3:5" x14ac:dyDescent="0.25">
      <c r="C285" s="2"/>
      <c r="E285" s="40"/>
    </row>
    <row r="286" spans="3:5" x14ac:dyDescent="0.25">
      <c r="C286" s="2"/>
      <c r="E286" s="40"/>
    </row>
    <row r="287" spans="3:5" x14ac:dyDescent="0.25">
      <c r="C287" s="2"/>
      <c r="E287" s="40"/>
    </row>
    <row r="288" spans="3:5" x14ac:dyDescent="0.25">
      <c r="C288" s="2"/>
      <c r="E288" s="40"/>
    </row>
    <row r="289" spans="3:5" x14ac:dyDescent="0.25">
      <c r="C289" s="2"/>
      <c r="E289" s="40"/>
    </row>
    <row r="290" spans="3:5" x14ac:dyDescent="0.25">
      <c r="C290" s="2"/>
      <c r="E290" s="40"/>
    </row>
    <row r="291" spans="3:5" x14ac:dyDescent="0.25">
      <c r="C291" s="2"/>
      <c r="E291" s="40"/>
    </row>
    <row r="292" spans="3:5" x14ac:dyDescent="0.25">
      <c r="C292" s="2"/>
      <c r="E292" s="40"/>
    </row>
    <row r="293" spans="3:5" x14ac:dyDescent="0.25">
      <c r="C293" s="2"/>
      <c r="E293" s="40"/>
    </row>
    <row r="294" spans="3:5" x14ac:dyDescent="0.25">
      <c r="C294" s="2"/>
      <c r="E294" s="40"/>
    </row>
    <row r="295" spans="3:5" x14ac:dyDescent="0.25">
      <c r="C295" s="2"/>
      <c r="E295" s="40"/>
    </row>
    <row r="296" spans="3:5" x14ac:dyDescent="0.25">
      <c r="C296" s="2"/>
      <c r="E296" s="40"/>
    </row>
    <row r="297" spans="3:5" x14ac:dyDescent="0.25">
      <c r="C297" s="2"/>
      <c r="E297" s="40"/>
    </row>
    <row r="298" spans="3:5" x14ac:dyDescent="0.25">
      <c r="C298" s="2"/>
      <c r="E298" s="40"/>
    </row>
    <row r="299" spans="3:5" x14ac:dyDescent="0.25">
      <c r="C299" s="2"/>
      <c r="E299" s="40"/>
    </row>
    <row r="300" spans="3:5" x14ac:dyDescent="0.25">
      <c r="C300" s="2"/>
      <c r="E300" s="40"/>
    </row>
    <row r="301" spans="3:5" x14ac:dyDescent="0.25">
      <c r="C301" s="2"/>
      <c r="E301" s="40"/>
    </row>
    <row r="302" spans="3:5" x14ac:dyDescent="0.25">
      <c r="C302" s="2"/>
      <c r="E302" s="40"/>
    </row>
    <row r="303" spans="3:5" x14ac:dyDescent="0.25">
      <c r="C303" s="2"/>
      <c r="E303" s="40"/>
    </row>
    <row r="304" spans="3:5" x14ac:dyDescent="0.25">
      <c r="C304" s="2"/>
      <c r="E304" s="40"/>
    </row>
    <row r="305" spans="3:5" x14ac:dyDescent="0.25">
      <c r="C305" s="2"/>
      <c r="E305" s="40"/>
    </row>
    <row r="306" spans="3:5" x14ac:dyDescent="0.25">
      <c r="C306" s="2"/>
      <c r="E306" s="40"/>
    </row>
    <row r="307" spans="3:5" x14ac:dyDescent="0.25">
      <c r="C307" s="2"/>
      <c r="E307" s="40"/>
    </row>
    <row r="308" spans="3:5" x14ac:dyDescent="0.25">
      <c r="C308" s="2"/>
      <c r="E308" s="40"/>
    </row>
    <row r="309" spans="3:5" x14ac:dyDescent="0.25">
      <c r="C309" s="2"/>
      <c r="E309" s="40"/>
    </row>
    <row r="310" spans="3:5" x14ac:dyDescent="0.25">
      <c r="C310" s="2"/>
      <c r="E310" s="40"/>
    </row>
    <row r="311" spans="3:5" x14ac:dyDescent="0.25">
      <c r="C311" s="2"/>
      <c r="E311" s="40"/>
    </row>
    <row r="312" spans="3:5" x14ac:dyDescent="0.25">
      <c r="C312" s="2"/>
      <c r="E312" s="40"/>
    </row>
    <row r="313" spans="3:5" x14ac:dyDescent="0.25">
      <c r="C313" s="2"/>
      <c r="E313" s="40"/>
    </row>
    <row r="314" spans="3:5" x14ac:dyDescent="0.25">
      <c r="C314" s="2"/>
      <c r="E314" s="40"/>
    </row>
    <row r="315" spans="3:5" x14ac:dyDescent="0.25">
      <c r="C315" s="2"/>
      <c r="E315" s="40"/>
    </row>
    <row r="316" spans="3:5" x14ac:dyDescent="0.25">
      <c r="C316" s="2"/>
      <c r="E316" s="40"/>
    </row>
    <row r="317" spans="3:5" x14ac:dyDescent="0.25">
      <c r="C317" s="2"/>
      <c r="E317" s="40"/>
    </row>
    <row r="318" spans="3:5" x14ac:dyDescent="0.25">
      <c r="C318" s="2"/>
      <c r="E318" s="40"/>
    </row>
    <row r="319" spans="3:5" x14ac:dyDescent="0.25">
      <c r="C319" s="2"/>
      <c r="E319" s="40"/>
    </row>
    <row r="320" spans="3:5" x14ac:dyDescent="0.25">
      <c r="C320" s="2"/>
      <c r="E320" s="40"/>
    </row>
    <row r="321" spans="3:5" x14ac:dyDescent="0.25">
      <c r="C321" s="2"/>
      <c r="E321" s="40"/>
    </row>
    <row r="322" spans="3:5" x14ac:dyDescent="0.25">
      <c r="C322" s="2"/>
      <c r="E322" s="40"/>
    </row>
    <row r="323" spans="3:5" x14ac:dyDescent="0.25">
      <c r="C323" s="2"/>
      <c r="E323" s="40"/>
    </row>
    <row r="324" spans="3:5" x14ac:dyDescent="0.25">
      <c r="C324" s="2"/>
      <c r="E324" s="40"/>
    </row>
    <row r="325" spans="3:5" x14ac:dyDescent="0.25">
      <c r="C325" s="2"/>
      <c r="E325" s="40"/>
    </row>
    <row r="326" spans="3:5" x14ac:dyDescent="0.25">
      <c r="C326" s="2"/>
      <c r="E326" s="40"/>
    </row>
    <row r="327" spans="3:5" x14ac:dyDescent="0.25">
      <c r="C327" s="2"/>
      <c r="E327" s="40"/>
    </row>
    <row r="328" spans="3:5" x14ac:dyDescent="0.25">
      <c r="C328" s="2"/>
      <c r="E328" s="40"/>
    </row>
    <row r="329" spans="3:5" x14ac:dyDescent="0.25">
      <c r="C329" s="2"/>
      <c r="E329" s="40"/>
    </row>
    <row r="330" spans="3:5" x14ac:dyDescent="0.25">
      <c r="C330" s="2"/>
      <c r="E330" s="40"/>
    </row>
    <row r="331" spans="3:5" x14ac:dyDescent="0.25">
      <c r="C331" s="2"/>
      <c r="E331" s="40"/>
    </row>
    <row r="332" spans="3:5" x14ac:dyDescent="0.25">
      <c r="C332" s="2"/>
      <c r="E332" s="40"/>
    </row>
    <row r="333" spans="3:5" x14ac:dyDescent="0.25">
      <c r="C333" s="2"/>
      <c r="E333" s="40"/>
    </row>
    <row r="334" spans="3:5" x14ac:dyDescent="0.25">
      <c r="C334" s="2"/>
      <c r="E334" s="40"/>
    </row>
    <row r="335" spans="3:5" x14ac:dyDescent="0.25">
      <c r="C335" s="2"/>
      <c r="E335" s="40"/>
    </row>
    <row r="336" spans="3:5" x14ac:dyDescent="0.25">
      <c r="C336" s="2"/>
      <c r="E336" s="40"/>
    </row>
    <row r="337" spans="3:5" x14ac:dyDescent="0.25">
      <c r="C337" s="2"/>
      <c r="E337" s="40"/>
    </row>
    <row r="338" spans="3:5" x14ac:dyDescent="0.25">
      <c r="C338" s="2"/>
      <c r="E338" s="40"/>
    </row>
    <row r="339" spans="3:5" x14ac:dyDescent="0.25">
      <c r="C339" s="2"/>
      <c r="E339" s="40"/>
    </row>
    <row r="340" spans="3:5" x14ac:dyDescent="0.25">
      <c r="C340" s="2"/>
      <c r="E340" s="40"/>
    </row>
    <row r="341" spans="3:5" x14ac:dyDescent="0.25">
      <c r="C341" s="2"/>
      <c r="E341" s="40"/>
    </row>
    <row r="342" spans="3:5" x14ac:dyDescent="0.25">
      <c r="C342" s="2"/>
      <c r="E342" s="40"/>
    </row>
    <row r="343" spans="3:5" x14ac:dyDescent="0.25">
      <c r="C343" s="2"/>
      <c r="E343" s="40"/>
    </row>
    <row r="344" spans="3:5" x14ac:dyDescent="0.25">
      <c r="C344" s="2"/>
      <c r="E344" s="40"/>
    </row>
    <row r="345" spans="3:5" x14ac:dyDescent="0.25">
      <c r="C345" s="2"/>
      <c r="E345" s="40"/>
    </row>
    <row r="346" spans="3:5" x14ac:dyDescent="0.25">
      <c r="C346" s="2"/>
      <c r="E346" s="40"/>
    </row>
    <row r="347" spans="3:5" x14ac:dyDescent="0.25">
      <c r="C347" s="2"/>
      <c r="E347" s="40"/>
    </row>
    <row r="348" spans="3:5" x14ac:dyDescent="0.25">
      <c r="C348" s="2"/>
      <c r="E348" s="40"/>
    </row>
    <row r="349" spans="3:5" x14ac:dyDescent="0.25">
      <c r="C349" s="2"/>
      <c r="E349" s="40"/>
    </row>
    <row r="350" spans="3:5" x14ac:dyDescent="0.25">
      <c r="C350" s="2"/>
      <c r="E350" s="40"/>
    </row>
    <row r="351" spans="3:5" x14ac:dyDescent="0.25">
      <c r="C351" s="2"/>
      <c r="E351" s="40"/>
    </row>
    <row r="352" spans="3:5" x14ac:dyDescent="0.25">
      <c r="C352" s="2"/>
      <c r="E352" s="40"/>
    </row>
    <row r="353" spans="3:5" x14ac:dyDescent="0.25">
      <c r="C353" s="2"/>
      <c r="E353" s="40"/>
    </row>
    <row r="354" spans="3:5" x14ac:dyDescent="0.25">
      <c r="C354" s="2"/>
      <c r="E354" s="40"/>
    </row>
    <row r="355" spans="3:5" x14ac:dyDescent="0.25">
      <c r="C355" s="2"/>
      <c r="E355" s="40"/>
    </row>
    <row r="356" spans="3:5" x14ac:dyDescent="0.25">
      <c r="C356" s="2"/>
      <c r="E356" s="40"/>
    </row>
    <row r="357" spans="3:5" x14ac:dyDescent="0.25">
      <c r="C357" s="2"/>
      <c r="E357" s="40"/>
    </row>
    <row r="358" spans="3:5" x14ac:dyDescent="0.25">
      <c r="C358" s="2"/>
      <c r="E358" s="40"/>
    </row>
    <row r="359" spans="3:5" x14ac:dyDescent="0.25">
      <c r="C359" s="2"/>
      <c r="E359" s="40"/>
    </row>
    <row r="360" spans="3:5" x14ac:dyDescent="0.25">
      <c r="C360" s="2"/>
      <c r="E360" s="40"/>
    </row>
    <row r="361" spans="3:5" x14ac:dyDescent="0.25">
      <c r="C361" s="2"/>
      <c r="E361" s="40"/>
    </row>
    <row r="362" spans="3:5" x14ac:dyDescent="0.25">
      <c r="C362" s="2"/>
      <c r="E362" s="40"/>
    </row>
    <row r="363" spans="3:5" x14ac:dyDescent="0.25">
      <c r="C363" s="2"/>
      <c r="E363" s="40"/>
    </row>
    <row r="364" spans="3:5" x14ac:dyDescent="0.25">
      <c r="C364" s="2"/>
      <c r="E364" s="40"/>
    </row>
    <row r="365" spans="3:5" x14ac:dyDescent="0.25">
      <c r="C365" s="2"/>
      <c r="E365" s="40"/>
    </row>
    <row r="366" spans="3:5" x14ac:dyDescent="0.25">
      <c r="C366" s="2"/>
      <c r="E366" s="40"/>
    </row>
    <row r="367" spans="3:5" x14ac:dyDescent="0.25">
      <c r="C367" s="2"/>
      <c r="E367" s="40"/>
    </row>
    <row r="368" spans="3:5" x14ac:dyDescent="0.25">
      <c r="C368" s="2"/>
      <c r="E368" s="40"/>
    </row>
    <row r="369" spans="3:5" x14ac:dyDescent="0.25">
      <c r="C369" s="2"/>
      <c r="E369" s="40"/>
    </row>
    <row r="370" spans="3:5" x14ac:dyDescent="0.25">
      <c r="C370" s="2"/>
      <c r="E370" s="40"/>
    </row>
    <row r="371" spans="3:5" x14ac:dyDescent="0.25">
      <c r="C371" s="2"/>
      <c r="E371" s="40"/>
    </row>
    <row r="372" spans="3:5" x14ac:dyDescent="0.25">
      <c r="C372" s="2"/>
      <c r="E372" s="40"/>
    </row>
    <row r="373" spans="3:5" x14ac:dyDescent="0.25">
      <c r="C373" s="2"/>
      <c r="E373" s="40"/>
    </row>
    <row r="374" spans="3:5" x14ac:dyDescent="0.25">
      <c r="C374" s="2"/>
      <c r="E374" s="40"/>
    </row>
    <row r="375" spans="3:5" x14ac:dyDescent="0.25">
      <c r="C375" s="2"/>
      <c r="E375" s="40"/>
    </row>
    <row r="376" spans="3:5" x14ac:dyDescent="0.25">
      <c r="C376" s="2"/>
      <c r="E376" s="40"/>
    </row>
    <row r="377" spans="3:5" x14ac:dyDescent="0.25">
      <c r="C377" s="2"/>
      <c r="E377" s="40"/>
    </row>
    <row r="378" spans="3:5" x14ac:dyDescent="0.25">
      <c r="C378" s="2"/>
      <c r="E378" s="40"/>
    </row>
    <row r="379" spans="3:5" x14ac:dyDescent="0.25">
      <c r="C379" s="2"/>
      <c r="E379" s="40"/>
    </row>
    <row r="380" spans="3:5" x14ac:dyDescent="0.25">
      <c r="C380" s="2"/>
      <c r="E380" s="40"/>
    </row>
    <row r="381" spans="3:5" x14ac:dyDescent="0.25">
      <c r="C381" s="2"/>
      <c r="E381" s="40"/>
    </row>
    <row r="382" spans="3:5" x14ac:dyDescent="0.25">
      <c r="C382" s="2"/>
      <c r="E382" s="40"/>
    </row>
    <row r="383" spans="3:5" x14ac:dyDescent="0.25">
      <c r="C383" s="2"/>
      <c r="E383" s="40"/>
    </row>
    <row r="384" spans="3:5" x14ac:dyDescent="0.25">
      <c r="C384" s="2"/>
      <c r="E384" s="40"/>
    </row>
    <row r="385" spans="3:5" x14ac:dyDescent="0.25">
      <c r="C385" s="2"/>
      <c r="E385" s="40"/>
    </row>
    <row r="386" spans="3:5" x14ac:dyDescent="0.25">
      <c r="C386" s="2"/>
      <c r="E386" s="40"/>
    </row>
    <row r="387" spans="3:5" x14ac:dyDescent="0.25">
      <c r="C387" s="2"/>
      <c r="E387" s="40"/>
    </row>
    <row r="388" spans="3:5" x14ac:dyDescent="0.25">
      <c r="C388" s="2"/>
      <c r="E388" s="40"/>
    </row>
    <row r="389" spans="3:5" x14ac:dyDescent="0.25">
      <c r="C389" s="2"/>
      <c r="E389" s="40"/>
    </row>
    <row r="390" spans="3:5" x14ac:dyDescent="0.25">
      <c r="C390" s="2"/>
      <c r="E390" s="40"/>
    </row>
    <row r="391" spans="3:5" x14ac:dyDescent="0.25">
      <c r="C391" s="2"/>
      <c r="E391" s="40"/>
    </row>
    <row r="392" spans="3:5" x14ac:dyDescent="0.25">
      <c r="C392" s="2"/>
      <c r="E392" s="40"/>
    </row>
    <row r="393" spans="3:5" x14ac:dyDescent="0.25">
      <c r="C393" s="2"/>
      <c r="E393" s="40"/>
    </row>
    <row r="394" spans="3:5" x14ac:dyDescent="0.25">
      <c r="C394" s="2"/>
      <c r="E394" s="40"/>
    </row>
    <row r="395" spans="3:5" x14ac:dyDescent="0.25">
      <c r="C395" s="2"/>
      <c r="E395" s="40"/>
    </row>
    <row r="396" spans="3:5" x14ac:dyDescent="0.25">
      <c r="C396" s="2"/>
      <c r="E396" s="40"/>
    </row>
    <row r="397" spans="3:5" x14ac:dyDescent="0.25">
      <c r="C397" s="2"/>
      <c r="E397" s="40"/>
    </row>
    <row r="398" spans="3:5" x14ac:dyDescent="0.25">
      <c r="C398" s="2"/>
      <c r="E398" s="40"/>
    </row>
    <row r="399" spans="3:5" x14ac:dyDescent="0.25">
      <c r="C399" s="2"/>
      <c r="E399" s="40"/>
    </row>
    <row r="400" spans="3:5" x14ac:dyDescent="0.25">
      <c r="C400" s="2"/>
      <c r="E400" s="40"/>
    </row>
    <row r="401" spans="3:5" x14ac:dyDescent="0.25">
      <c r="C401" s="2"/>
      <c r="E401" s="40"/>
    </row>
    <row r="402" spans="3:5" x14ac:dyDescent="0.25">
      <c r="C402" s="2"/>
      <c r="E402" s="40"/>
    </row>
    <row r="403" spans="3:5" x14ac:dyDescent="0.25">
      <c r="C403" s="2"/>
      <c r="E403" s="40"/>
    </row>
    <row r="404" spans="3:5" x14ac:dyDescent="0.25">
      <c r="C404" s="2"/>
      <c r="E404" s="40"/>
    </row>
    <row r="405" spans="3:5" x14ac:dyDescent="0.25">
      <c r="C405" s="2"/>
      <c r="E405" s="40"/>
    </row>
    <row r="406" spans="3:5" x14ac:dyDescent="0.25">
      <c r="C406" s="2"/>
      <c r="E406" s="40"/>
    </row>
    <row r="407" spans="3:5" x14ac:dyDescent="0.25">
      <c r="C407" s="2"/>
      <c r="E407" s="40"/>
    </row>
    <row r="408" spans="3:5" x14ac:dyDescent="0.25">
      <c r="C408" s="2"/>
      <c r="E408" s="40"/>
    </row>
    <row r="409" spans="3:5" x14ac:dyDescent="0.25">
      <c r="C409" s="2"/>
      <c r="E409" s="40"/>
    </row>
    <row r="410" spans="3:5" x14ac:dyDescent="0.25">
      <c r="C410" s="2"/>
      <c r="E410" s="40"/>
    </row>
    <row r="411" spans="3:5" x14ac:dyDescent="0.25">
      <c r="C411" s="2"/>
      <c r="E411" s="40"/>
    </row>
    <row r="412" spans="3:5" x14ac:dyDescent="0.25">
      <c r="C412" s="2"/>
      <c r="E412" s="40"/>
    </row>
    <row r="413" spans="3:5" x14ac:dyDescent="0.25">
      <c r="C413" s="2"/>
      <c r="E413" s="40"/>
    </row>
    <row r="414" spans="3:5" x14ac:dyDescent="0.25">
      <c r="C414" s="2"/>
      <c r="E414" s="40"/>
    </row>
    <row r="415" spans="3:5" x14ac:dyDescent="0.25">
      <c r="C415" s="2"/>
      <c r="E415" s="40"/>
    </row>
    <row r="416" spans="3:5" x14ac:dyDescent="0.25">
      <c r="C416" s="2"/>
      <c r="E416" s="40"/>
    </row>
    <row r="417" spans="3:5" x14ac:dyDescent="0.25">
      <c r="C417" s="2"/>
      <c r="E417" s="40"/>
    </row>
    <row r="418" spans="3:5" x14ac:dyDescent="0.25">
      <c r="C418" s="2"/>
      <c r="E418" s="40"/>
    </row>
    <row r="419" spans="3:5" x14ac:dyDescent="0.25">
      <c r="C419" s="2"/>
      <c r="E419" s="40"/>
    </row>
    <row r="420" spans="3:5" x14ac:dyDescent="0.25">
      <c r="C420" s="2"/>
      <c r="E420" s="40"/>
    </row>
    <row r="421" spans="3:5" x14ac:dyDescent="0.25">
      <c r="C421" s="2"/>
      <c r="E421" s="40"/>
    </row>
    <row r="422" spans="3:5" x14ac:dyDescent="0.25">
      <c r="C422" s="2"/>
      <c r="E422" s="40"/>
    </row>
    <row r="423" spans="3:5" x14ac:dyDescent="0.25">
      <c r="C423" s="2"/>
      <c r="E423" s="40"/>
    </row>
    <row r="424" spans="3:5" x14ac:dyDescent="0.25">
      <c r="C424" s="2"/>
      <c r="E424" s="40"/>
    </row>
    <row r="425" spans="3:5" x14ac:dyDescent="0.25">
      <c r="C425" s="2"/>
      <c r="E425" s="40"/>
    </row>
    <row r="426" spans="3:5" x14ac:dyDescent="0.25">
      <c r="C426" s="2"/>
      <c r="E426" s="40"/>
    </row>
    <row r="427" spans="3:5" x14ac:dyDescent="0.25">
      <c r="C427" s="2"/>
      <c r="E427" s="40"/>
    </row>
    <row r="428" spans="3:5" x14ac:dyDescent="0.25">
      <c r="C428" s="2"/>
      <c r="E428" s="40"/>
    </row>
    <row r="429" spans="3:5" x14ac:dyDescent="0.25">
      <c r="C429" s="2"/>
      <c r="E429" s="40"/>
    </row>
    <row r="430" spans="3:5" x14ac:dyDescent="0.25">
      <c r="C430" s="2"/>
      <c r="E430" s="40"/>
    </row>
    <row r="431" spans="3:5" x14ac:dyDescent="0.25">
      <c r="C431" s="2"/>
      <c r="E431" s="40"/>
    </row>
    <row r="432" spans="3:5" x14ac:dyDescent="0.25">
      <c r="C432" s="2"/>
      <c r="E432" s="40"/>
    </row>
    <row r="433" spans="3:5" x14ac:dyDescent="0.25">
      <c r="C433" s="2"/>
      <c r="E433" s="40"/>
    </row>
    <row r="434" spans="3:5" x14ac:dyDescent="0.25">
      <c r="C434" s="2"/>
      <c r="E434" s="40"/>
    </row>
    <row r="435" spans="3:5" x14ac:dyDescent="0.25">
      <c r="C435" s="2"/>
      <c r="E435" s="40"/>
    </row>
    <row r="436" spans="3:5" x14ac:dyDescent="0.25">
      <c r="C436" s="2"/>
      <c r="E436" s="40"/>
    </row>
    <row r="437" spans="3:5" x14ac:dyDescent="0.25">
      <c r="C437" s="2"/>
      <c r="E437" s="40"/>
    </row>
    <row r="438" spans="3:5" x14ac:dyDescent="0.25">
      <c r="C438" s="2"/>
      <c r="E438" s="40"/>
    </row>
    <row r="439" spans="3:5" x14ac:dyDescent="0.25">
      <c r="C439" s="2"/>
      <c r="E439" s="40"/>
    </row>
    <row r="440" spans="3:5" x14ac:dyDescent="0.25">
      <c r="C440" s="2"/>
      <c r="E440" s="40"/>
    </row>
    <row r="441" spans="3:5" x14ac:dyDescent="0.25">
      <c r="C441" s="2"/>
      <c r="E441" s="40"/>
    </row>
    <row r="442" spans="3:5" x14ac:dyDescent="0.25">
      <c r="C442" s="2"/>
      <c r="E442" s="40"/>
    </row>
    <row r="443" spans="3:5" x14ac:dyDescent="0.25">
      <c r="C443" s="2"/>
      <c r="E443" s="40"/>
    </row>
    <row r="444" spans="3:5" x14ac:dyDescent="0.25">
      <c r="C444" s="2"/>
      <c r="E444" s="40"/>
    </row>
    <row r="445" spans="3:5" x14ac:dyDescent="0.25">
      <c r="C445" s="2"/>
      <c r="E445" s="40"/>
    </row>
    <row r="446" spans="3:5" x14ac:dyDescent="0.25">
      <c r="C446" s="2"/>
      <c r="E446" s="40"/>
    </row>
    <row r="447" spans="3:5" x14ac:dyDescent="0.25">
      <c r="C447" s="2"/>
      <c r="E447" s="40"/>
    </row>
    <row r="448" spans="3:5" x14ac:dyDescent="0.25">
      <c r="C448" s="2"/>
      <c r="E448" s="40"/>
    </row>
    <row r="449" spans="3:5" x14ac:dyDescent="0.25">
      <c r="C449" s="2"/>
      <c r="E449" s="40"/>
    </row>
    <row r="450" spans="3:5" x14ac:dyDescent="0.25">
      <c r="C450" s="2"/>
      <c r="E450" s="40"/>
    </row>
    <row r="451" spans="3:5" x14ac:dyDescent="0.25">
      <c r="C451" s="2"/>
      <c r="E451" s="40"/>
    </row>
    <row r="452" spans="3:5" x14ac:dyDescent="0.25">
      <c r="C452" s="2"/>
      <c r="E452" s="40"/>
    </row>
    <row r="453" spans="3:5" x14ac:dyDescent="0.25">
      <c r="C453" s="2"/>
      <c r="E453" s="40"/>
    </row>
    <row r="454" spans="3:5" x14ac:dyDescent="0.25">
      <c r="C454" s="2"/>
      <c r="E454" s="40"/>
    </row>
    <row r="455" spans="3:5" x14ac:dyDescent="0.25">
      <c r="C455" s="2"/>
      <c r="E455" s="40"/>
    </row>
    <row r="456" spans="3:5" x14ac:dyDescent="0.25">
      <c r="C456" s="2"/>
      <c r="E456" s="40"/>
    </row>
    <row r="457" spans="3:5" x14ac:dyDescent="0.25">
      <c r="C457" s="2"/>
      <c r="E457" s="40"/>
    </row>
    <row r="458" spans="3:5" x14ac:dyDescent="0.25">
      <c r="C458" s="2"/>
      <c r="E458" s="40"/>
    </row>
    <row r="459" spans="3:5" x14ac:dyDescent="0.25">
      <c r="C459" s="2"/>
      <c r="E459" s="40"/>
    </row>
    <row r="460" spans="3:5" x14ac:dyDescent="0.25">
      <c r="C460" s="2"/>
      <c r="E460" s="40"/>
    </row>
    <row r="461" spans="3:5" x14ac:dyDescent="0.25">
      <c r="C461" s="2"/>
      <c r="E461" s="40"/>
    </row>
    <row r="462" spans="3:5" x14ac:dyDescent="0.25">
      <c r="C462" s="2"/>
      <c r="E462" s="40"/>
    </row>
    <row r="463" spans="3:5" x14ac:dyDescent="0.25">
      <c r="C463" s="2"/>
      <c r="E463" s="40"/>
    </row>
    <row r="464" spans="3:5" x14ac:dyDescent="0.25">
      <c r="C464" s="2"/>
      <c r="E464" s="40"/>
    </row>
    <row r="465" spans="3:5" x14ac:dyDescent="0.25">
      <c r="C465" s="2"/>
      <c r="E465" s="40"/>
    </row>
    <row r="466" spans="3:5" x14ac:dyDescent="0.25">
      <c r="C466" s="2"/>
      <c r="E466" s="40"/>
    </row>
    <row r="467" spans="3:5" x14ac:dyDescent="0.25">
      <c r="C467" s="2"/>
      <c r="E467" s="40"/>
    </row>
    <row r="468" spans="3:5" x14ac:dyDescent="0.25">
      <c r="C468" s="2"/>
      <c r="E468" s="40"/>
    </row>
    <row r="469" spans="3:5" x14ac:dyDescent="0.25">
      <c r="C469" s="2"/>
      <c r="E469" s="40"/>
    </row>
    <row r="470" spans="3:5" x14ac:dyDescent="0.25">
      <c r="C470" s="2"/>
      <c r="E470" s="40"/>
    </row>
    <row r="471" spans="3:5" x14ac:dyDescent="0.25">
      <c r="C471" s="2"/>
      <c r="E471" s="40"/>
    </row>
    <row r="472" spans="3:5" x14ac:dyDescent="0.25">
      <c r="C472" s="2"/>
      <c r="E472" s="40"/>
    </row>
    <row r="473" spans="3:5" x14ac:dyDescent="0.25">
      <c r="C473" s="2"/>
      <c r="E473" s="40"/>
    </row>
    <row r="474" spans="3:5" x14ac:dyDescent="0.25">
      <c r="C474" s="2"/>
      <c r="E474" s="40"/>
    </row>
    <row r="475" spans="3:5" x14ac:dyDescent="0.25">
      <c r="C475" s="2"/>
      <c r="E475" s="40"/>
    </row>
    <row r="476" spans="3:5" x14ac:dyDescent="0.25">
      <c r="C476" s="2"/>
      <c r="E476" s="40"/>
    </row>
    <row r="477" spans="3:5" x14ac:dyDescent="0.25">
      <c r="C477" s="2"/>
      <c r="E477" s="40"/>
    </row>
    <row r="478" spans="3:5" x14ac:dyDescent="0.25">
      <c r="C478" s="2"/>
      <c r="E478" s="40"/>
    </row>
    <row r="479" spans="3:5" x14ac:dyDescent="0.25">
      <c r="C479" s="2"/>
      <c r="E479" s="40"/>
    </row>
    <row r="480" spans="3:5" x14ac:dyDescent="0.25">
      <c r="C480" s="2"/>
      <c r="E480" s="40"/>
    </row>
    <row r="481" spans="3:5" x14ac:dyDescent="0.25">
      <c r="C481" s="2"/>
      <c r="E481" s="40"/>
    </row>
    <row r="482" spans="3:5" x14ac:dyDescent="0.25">
      <c r="C482" s="2"/>
      <c r="E482" s="40"/>
    </row>
    <row r="483" spans="3:5" x14ac:dyDescent="0.25">
      <c r="C483" s="2"/>
      <c r="E483" s="40"/>
    </row>
    <row r="484" spans="3:5" x14ac:dyDescent="0.25">
      <c r="C484" s="2"/>
      <c r="E484" s="40"/>
    </row>
    <row r="485" spans="3:5" x14ac:dyDescent="0.25">
      <c r="C485" s="2"/>
      <c r="E485" s="40"/>
    </row>
    <row r="486" spans="3:5" x14ac:dyDescent="0.25">
      <c r="C486" s="2"/>
      <c r="E486" s="40"/>
    </row>
    <row r="487" spans="3:5" x14ac:dyDescent="0.25">
      <c r="C487" s="2"/>
      <c r="E487" s="40"/>
    </row>
    <row r="488" spans="3:5" x14ac:dyDescent="0.25">
      <c r="C488" s="2"/>
      <c r="E488" s="40"/>
    </row>
    <row r="489" spans="3:5" x14ac:dyDescent="0.25">
      <c r="C489" s="2"/>
      <c r="E489" s="40"/>
    </row>
    <row r="490" spans="3:5" x14ac:dyDescent="0.25">
      <c r="C490" s="2"/>
      <c r="E490" s="40"/>
    </row>
    <row r="491" spans="3:5" x14ac:dyDescent="0.25">
      <c r="C491" s="2"/>
      <c r="E491" s="40"/>
    </row>
    <row r="492" spans="3:5" x14ac:dyDescent="0.25">
      <c r="C492" s="2"/>
      <c r="E492" s="40"/>
    </row>
    <row r="493" spans="3:5" x14ac:dyDescent="0.25">
      <c r="C493" s="2"/>
      <c r="E493" s="40"/>
    </row>
    <row r="494" spans="3:5" x14ac:dyDescent="0.25">
      <c r="C494" s="2"/>
      <c r="E494" s="40"/>
    </row>
    <row r="495" spans="3:5" x14ac:dyDescent="0.25">
      <c r="C495" s="2"/>
      <c r="E495" s="40"/>
    </row>
    <row r="496" spans="3:5" x14ac:dyDescent="0.25">
      <c r="C496" s="2"/>
      <c r="E496" s="40"/>
    </row>
    <row r="497" spans="3:5" x14ac:dyDescent="0.25">
      <c r="C497" s="2"/>
      <c r="E497" s="40"/>
    </row>
    <row r="498" spans="3:5" x14ac:dyDescent="0.25">
      <c r="C498" s="2"/>
      <c r="E498" s="40"/>
    </row>
    <row r="499" spans="3:5" x14ac:dyDescent="0.25">
      <c r="C499" s="2"/>
      <c r="E499" s="40"/>
    </row>
    <row r="500" spans="3:5" x14ac:dyDescent="0.25">
      <c r="C500" s="2"/>
      <c r="E500" s="40"/>
    </row>
    <row r="501" spans="3:5" x14ac:dyDescent="0.25">
      <c r="C501" s="2"/>
      <c r="E501" s="40"/>
    </row>
    <row r="502" spans="3:5" x14ac:dyDescent="0.25">
      <c r="C502" s="2"/>
      <c r="E502" s="40"/>
    </row>
    <row r="503" spans="3:5" x14ac:dyDescent="0.25">
      <c r="C503" s="2"/>
      <c r="E503" s="40"/>
    </row>
    <row r="504" spans="3:5" x14ac:dyDescent="0.25">
      <c r="C504" s="2"/>
      <c r="E504" s="40"/>
    </row>
    <row r="505" spans="3:5" x14ac:dyDescent="0.25">
      <c r="C505" s="2"/>
      <c r="E505" s="40"/>
    </row>
    <row r="506" spans="3:5" x14ac:dyDescent="0.25">
      <c r="C506" s="2"/>
      <c r="E506" s="40"/>
    </row>
    <row r="507" spans="3:5" x14ac:dyDescent="0.25">
      <c r="C507" s="2"/>
      <c r="E507" s="40"/>
    </row>
    <row r="508" spans="3:5" x14ac:dyDescent="0.25">
      <c r="C508" s="2"/>
      <c r="E508" s="40"/>
    </row>
    <row r="509" spans="3:5" x14ac:dyDescent="0.25">
      <c r="C509" s="2"/>
      <c r="E509" s="40"/>
    </row>
    <row r="510" spans="3:5" x14ac:dyDescent="0.25">
      <c r="C510" s="2"/>
      <c r="E510" s="40"/>
    </row>
    <row r="511" spans="3:5" x14ac:dyDescent="0.25">
      <c r="C511" s="2"/>
      <c r="E511" s="40"/>
    </row>
    <row r="512" spans="3:5" x14ac:dyDescent="0.25">
      <c r="C512" s="2"/>
      <c r="E512" s="40"/>
    </row>
    <row r="513" spans="3:5" x14ac:dyDescent="0.25">
      <c r="C513" s="2"/>
      <c r="E513" s="40"/>
    </row>
    <row r="514" spans="3:5" x14ac:dyDescent="0.25">
      <c r="C514" s="2"/>
      <c r="E514" s="40"/>
    </row>
    <row r="515" spans="3:5" x14ac:dyDescent="0.25">
      <c r="C515" s="2"/>
      <c r="E515" s="40"/>
    </row>
    <row r="516" spans="3:5" x14ac:dyDescent="0.25">
      <c r="C516" s="2"/>
      <c r="E516" s="40"/>
    </row>
    <row r="517" spans="3:5" x14ac:dyDescent="0.25">
      <c r="C517" s="2"/>
      <c r="E517" s="40"/>
    </row>
    <row r="518" spans="3:5" x14ac:dyDescent="0.25">
      <c r="C518" s="2"/>
      <c r="E518" s="40"/>
    </row>
    <row r="519" spans="3:5" x14ac:dyDescent="0.25">
      <c r="C519" s="2"/>
      <c r="E519" s="40"/>
    </row>
    <row r="520" spans="3:5" x14ac:dyDescent="0.25">
      <c r="C520" s="2"/>
      <c r="E520" s="40"/>
    </row>
    <row r="521" spans="3:5" x14ac:dyDescent="0.25">
      <c r="C521" s="2"/>
      <c r="E521" s="40"/>
    </row>
    <row r="522" spans="3:5" x14ac:dyDescent="0.25">
      <c r="C522" s="2"/>
      <c r="E522" s="40"/>
    </row>
    <row r="523" spans="3:5" x14ac:dyDescent="0.25">
      <c r="C523" s="2"/>
      <c r="E523" s="40"/>
    </row>
    <row r="524" spans="3:5" x14ac:dyDescent="0.25">
      <c r="C524" s="2"/>
      <c r="E524" s="40"/>
    </row>
    <row r="525" spans="3:5" x14ac:dyDescent="0.25">
      <c r="C525" s="2"/>
      <c r="E525" s="40"/>
    </row>
    <row r="526" spans="3:5" x14ac:dyDescent="0.25">
      <c r="C526" s="2"/>
      <c r="E526" s="40"/>
    </row>
    <row r="527" spans="3:5" x14ac:dyDescent="0.25">
      <c r="C527" s="2"/>
      <c r="E527" s="40"/>
    </row>
    <row r="528" spans="3:5" x14ac:dyDescent="0.25">
      <c r="C528" s="2"/>
      <c r="E528" s="40"/>
    </row>
    <row r="529" spans="3:5" x14ac:dyDescent="0.25">
      <c r="C529" s="2"/>
      <c r="E529" s="40"/>
    </row>
    <row r="530" spans="3:5" x14ac:dyDescent="0.25">
      <c r="C530" s="2"/>
      <c r="E530" s="40"/>
    </row>
    <row r="531" spans="3:5" x14ac:dyDescent="0.25">
      <c r="C531" s="2"/>
      <c r="E531" s="40"/>
    </row>
    <row r="532" spans="3:5" x14ac:dyDescent="0.25">
      <c r="C532" s="2"/>
      <c r="E532" s="40"/>
    </row>
    <row r="533" spans="3:5" x14ac:dyDescent="0.25">
      <c r="C533" s="2"/>
      <c r="E533" s="40"/>
    </row>
    <row r="534" spans="3:5" x14ac:dyDescent="0.25">
      <c r="C534" s="2"/>
      <c r="E534" s="40"/>
    </row>
    <row r="535" spans="3:5" x14ac:dyDescent="0.25">
      <c r="C535" s="2"/>
      <c r="E535" s="40"/>
    </row>
    <row r="536" spans="3:5" x14ac:dyDescent="0.25">
      <c r="C536" s="2"/>
      <c r="E536" s="40"/>
    </row>
    <row r="537" spans="3:5" x14ac:dyDescent="0.25">
      <c r="C537" s="2"/>
      <c r="E537" s="40"/>
    </row>
    <row r="538" spans="3:5" x14ac:dyDescent="0.25">
      <c r="C538" s="2"/>
      <c r="E538" s="40"/>
    </row>
    <row r="539" spans="3:5" x14ac:dyDescent="0.25">
      <c r="C539" s="2"/>
      <c r="E539" s="40"/>
    </row>
    <row r="540" spans="3:5" x14ac:dyDescent="0.25">
      <c r="C540" s="2"/>
      <c r="E540" s="40"/>
    </row>
    <row r="541" spans="3:5" x14ac:dyDescent="0.25">
      <c r="C541" s="2"/>
      <c r="E541" s="40"/>
    </row>
    <row r="542" spans="3:5" x14ac:dyDescent="0.25">
      <c r="C542" s="2"/>
      <c r="E542" s="40"/>
    </row>
    <row r="543" spans="3:5" x14ac:dyDescent="0.25">
      <c r="C543" s="2"/>
      <c r="E543" s="40"/>
    </row>
    <row r="544" spans="3:5" x14ac:dyDescent="0.25">
      <c r="C544" s="2"/>
      <c r="E544" s="40"/>
    </row>
    <row r="545" spans="3:5" x14ac:dyDescent="0.25">
      <c r="C545" s="2"/>
      <c r="E545" s="40"/>
    </row>
    <row r="546" spans="3:5" x14ac:dyDescent="0.25">
      <c r="C546" s="2"/>
      <c r="E546" s="40"/>
    </row>
    <row r="547" spans="3:5" x14ac:dyDescent="0.25">
      <c r="C547" s="2"/>
      <c r="E547" s="40"/>
    </row>
    <row r="548" spans="3:5" x14ac:dyDescent="0.25">
      <c r="C548" s="2"/>
      <c r="E548" s="40"/>
    </row>
    <row r="549" spans="3:5" x14ac:dyDescent="0.25">
      <c r="C549" s="2"/>
      <c r="E549" s="40"/>
    </row>
    <row r="550" spans="3:5" x14ac:dyDescent="0.25">
      <c r="C550" s="2"/>
      <c r="E550" s="40"/>
    </row>
    <row r="551" spans="3:5" x14ac:dyDescent="0.25">
      <c r="C551" s="2"/>
      <c r="E551" s="40"/>
    </row>
    <row r="552" spans="3:5" x14ac:dyDescent="0.25">
      <c r="C552" s="2"/>
      <c r="E552" s="40"/>
    </row>
    <row r="553" spans="3:5" x14ac:dyDescent="0.25">
      <c r="C553" s="2"/>
      <c r="E553" s="40"/>
    </row>
    <row r="554" spans="3:5" x14ac:dyDescent="0.25">
      <c r="C554" s="2"/>
      <c r="E554" s="40"/>
    </row>
    <row r="555" spans="3:5" x14ac:dyDescent="0.25">
      <c r="C555" s="2"/>
      <c r="E555" s="40"/>
    </row>
    <row r="556" spans="3:5" x14ac:dyDescent="0.25">
      <c r="C556" s="2"/>
      <c r="E556" s="40"/>
    </row>
    <row r="557" spans="3:5" x14ac:dyDescent="0.25">
      <c r="C557" s="2"/>
      <c r="E557" s="40"/>
    </row>
    <row r="558" spans="3:5" x14ac:dyDescent="0.25">
      <c r="C558" s="2"/>
      <c r="E558" s="40"/>
    </row>
    <row r="559" spans="3:5" x14ac:dyDescent="0.25">
      <c r="C559" s="2"/>
      <c r="E559" s="40"/>
    </row>
    <row r="560" spans="3:5" x14ac:dyDescent="0.25">
      <c r="C560" s="2"/>
      <c r="E560" s="40"/>
    </row>
    <row r="561" spans="3:5" x14ac:dyDescent="0.25">
      <c r="C561" s="2"/>
      <c r="E561" s="40"/>
    </row>
    <row r="562" spans="3:5" x14ac:dyDescent="0.25">
      <c r="C562" s="2"/>
      <c r="E562" s="40"/>
    </row>
    <row r="563" spans="3:5" x14ac:dyDescent="0.25">
      <c r="C563" s="2"/>
      <c r="E563" s="40"/>
    </row>
    <row r="564" spans="3:5" x14ac:dyDescent="0.25">
      <c r="C564" s="2"/>
      <c r="E564" s="40"/>
    </row>
    <row r="565" spans="3:5" x14ac:dyDescent="0.25">
      <c r="C565" s="2"/>
      <c r="E565" s="40"/>
    </row>
    <row r="566" spans="3:5" x14ac:dyDescent="0.25">
      <c r="C566" s="2"/>
      <c r="E566" s="40"/>
    </row>
    <row r="567" spans="3:5" x14ac:dyDescent="0.25">
      <c r="C567" s="2"/>
      <c r="E567" s="40"/>
    </row>
    <row r="568" spans="3:5" x14ac:dyDescent="0.25">
      <c r="C568" s="2"/>
      <c r="E568" s="40"/>
    </row>
    <row r="569" spans="3:5" x14ac:dyDescent="0.25">
      <c r="C569" s="2"/>
      <c r="E569" s="40"/>
    </row>
    <row r="570" spans="3:5" x14ac:dyDescent="0.25">
      <c r="C570" s="2"/>
      <c r="E570" s="40"/>
    </row>
    <row r="571" spans="3:5" x14ac:dyDescent="0.25">
      <c r="C571" s="2"/>
      <c r="E571" s="40"/>
    </row>
    <row r="572" spans="3:5" x14ac:dyDescent="0.25">
      <c r="C572" s="2"/>
      <c r="E572" s="40"/>
    </row>
    <row r="573" spans="3:5" x14ac:dyDescent="0.25">
      <c r="C573" s="2"/>
      <c r="E573" s="40"/>
    </row>
    <row r="574" spans="3:5" x14ac:dyDescent="0.25">
      <c r="C574" s="2"/>
      <c r="E574" s="40"/>
    </row>
    <row r="575" spans="3:5" x14ac:dyDescent="0.25">
      <c r="C575" s="2"/>
      <c r="E575" s="40"/>
    </row>
    <row r="576" spans="3:5" x14ac:dyDescent="0.25">
      <c r="C576" s="2"/>
      <c r="E576" s="40"/>
    </row>
    <row r="577" spans="3:5" x14ac:dyDescent="0.25">
      <c r="C577" s="2"/>
      <c r="E577" s="40"/>
    </row>
    <row r="578" spans="3:5" x14ac:dyDescent="0.25">
      <c r="C578" s="2"/>
      <c r="E578" s="40"/>
    </row>
    <row r="579" spans="3:5" x14ac:dyDescent="0.25">
      <c r="C579" s="2"/>
      <c r="E579" s="40"/>
    </row>
    <row r="580" spans="3:5" x14ac:dyDescent="0.25">
      <c r="C580" s="2"/>
      <c r="E580" s="40"/>
    </row>
    <row r="581" spans="3:5" x14ac:dyDescent="0.25">
      <c r="C581" s="2"/>
      <c r="E581" s="40"/>
    </row>
    <row r="582" spans="3:5" x14ac:dyDescent="0.25">
      <c r="C582" s="2"/>
      <c r="E582" s="40"/>
    </row>
    <row r="583" spans="3:5" x14ac:dyDescent="0.25">
      <c r="C583" s="2"/>
      <c r="E583" s="40"/>
    </row>
    <row r="584" spans="3:5" x14ac:dyDescent="0.25">
      <c r="C584" s="2"/>
      <c r="E584" s="40"/>
    </row>
    <row r="585" spans="3:5" x14ac:dyDescent="0.25">
      <c r="C585" s="2"/>
      <c r="E585" s="40"/>
    </row>
    <row r="586" spans="3:5" x14ac:dyDescent="0.25">
      <c r="C586" s="2"/>
      <c r="E586" s="40"/>
    </row>
    <row r="587" spans="3:5" x14ac:dyDescent="0.25">
      <c r="C587" s="2"/>
      <c r="E587" s="40"/>
    </row>
    <row r="588" spans="3:5" x14ac:dyDescent="0.25">
      <c r="C588" s="2"/>
      <c r="E588" s="40"/>
    </row>
    <row r="589" spans="3:5" x14ac:dyDescent="0.25">
      <c r="C589" s="2"/>
      <c r="E589" s="40"/>
    </row>
    <row r="590" spans="3:5" x14ac:dyDescent="0.25">
      <c r="C590" s="2"/>
      <c r="E590" s="40"/>
    </row>
    <row r="591" spans="3:5" x14ac:dyDescent="0.25">
      <c r="C591" s="2"/>
      <c r="E591" s="40"/>
    </row>
    <row r="592" spans="3:5" x14ac:dyDescent="0.25">
      <c r="C592" s="2"/>
      <c r="E592" s="40"/>
    </row>
    <row r="593" spans="3:5" x14ac:dyDescent="0.25">
      <c r="C593" s="2"/>
      <c r="E593" s="40"/>
    </row>
    <row r="594" spans="3:5" x14ac:dyDescent="0.25">
      <c r="C594" s="2"/>
      <c r="E594" s="40"/>
    </row>
    <row r="595" spans="3:5" x14ac:dyDescent="0.25">
      <c r="C595" s="2"/>
      <c r="E595" s="40"/>
    </row>
    <row r="596" spans="3:5" x14ac:dyDescent="0.25">
      <c r="C596" s="2"/>
      <c r="E596" s="40"/>
    </row>
    <row r="597" spans="3:5" x14ac:dyDescent="0.25">
      <c r="C597" s="2"/>
      <c r="E597" s="40"/>
    </row>
    <row r="598" spans="3:5" x14ac:dyDescent="0.25">
      <c r="C598" s="2"/>
      <c r="E598" s="40"/>
    </row>
    <row r="599" spans="3:5" x14ac:dyDescent="0.25">
      <c r="C599" s="2"/>
      <c r="E599" s="40"/>
    </row>
    <row r="600" spans="3:5" x14ac:dyDescent="0.25">
      <c r="C600" s="2"/>
      <c r="E600" s="40"/>
    </row>
    <row r="601" spans="3:5" x14ac:dyDescent="0.25">
      <c r="C601" s="2"/>
      <c r="E601" s="40"/>
    </row>
    <row r="602" spans="3:5" x14ac:dyDescent="0.25">
      <c r="C602" s="2"/>
      <c r="E602" s="40"/>
    </row>
    <row r="603" spans="3:5" x14ac:dyDescent="0.25">
      <c r="C603" s="2"/>
      <c r="E603" s="40"/>
    </row>
    <row r="604" spans="3:5" x14ac:dyDescent="0.25">
      <c r="C604" s="2"/>
      <c r="E604" s="40"/>
    </row>
    <row r="605" spans="3:5" x14ac:dyDescent="0.25">
      <c r="C605" s="2"/>
      <c r="E605" s="40"/>
    </row>
    <row r="606" spans="3:5" x14ac:dyDescent="0.25">
      <c r="C606" s="2"/>
      <c r="E606" s="40"/>
    </row>
    <row r="607" spans="3:5" x14ac:dyDescent="0.25">
      <c r="C607" s="2"/>
      <c r="E607" s="40"/>
    </row>
    <row r="608" spans="3:5" x14ac:dyDescent="0.25">
      <c r="C608" s="2"/>
      <c r="E608" s="40"/>
    </row>
    <row r="609" spans="3:5" x14ac:dyDescent="0.25">
      <c r="C609" s="2"/>
      <c r="E609" s="40"/>
    </row>
    <row r="610" spans="3:5" x14ac:dyDescent="0.25">
      <c r="C610" s="2"/>
      <c r="E610" s="40"/>
    </row>
    <row r="611" spans="3:5" x14ac:dyDescent="0.25">
      <c r="C611" s="2"/>
      <c r="E611" s="40"/>
    </row>
    <row r="612" spans="3:5" x14ac:dyDescent="0.25">
      <c r="C612" s="2"/>
      <c r="E612" s="40"/>
    </row>
    <row r="613" spans="3:5" x14ac:dyDescent="0.25">
      <c r="C613" s="2"/>
      <c r="E613" s="40"/>
    </row>
    <row r="614" spans="3:5" x14ac:dyDescent="0.25">
      <c r="C614" s="2"/>
      <c r="E614" s="40"/>
    </row>
    <row r="615" spans="3:5" x14ac:dyDescent="0.25">
      <c r="C615" s="2"/>
      <c r="E615" s="40"/>
    </row>
    <row r="616" spans="3:5" x14ac:dyDescent="0.25">
      <c r="C616" s="2"/>
      <c r="E616" s="40"/>
    </row>
    <row r="617" spans="3:5" x14ac:dyDescent="0.25">
      <c r="C617" s="2"/>
      <c r="E617" s="40"/>
    </row>
    <row r="618" spans="3:5" x14ac:dyDescent="0.25">
      <c r="C618" s="2"/>
      <c r="E618" s="40"/>
    </row>
    <row r="619" spans="3:5" x14ac:dyDescent="0.25">
      <c r="C619" s="2"/>
      <c r="E619" s="40"/>
    </row>
    <row r="620" spans="3:5" x14ac:dyDescent="0.25">
      <c r="C620" s="2"/>
      <c r="E620" s="40"/>
    </row>
    <row r="621" spans="3:5" x14ac:dyDescent="0.25">
      <c r="C621" s="2"/>
      <c r="E621" s="40"/>
    </row>
    <row r="622" spans="3:5" x14ac:dyDescent="0.25">
      <c r="C622" s="2"/>
      <c r="E622" s="40"/>
    </row>
    <row r="623" spans="3:5" x14ac:dyDescent="0.25">
      <c r="C623" s="2"/>
      <c r="E623" s="40"/>
    </row>
    <row r="624" spans="3:5" x14ac:dyDescent="0.25">
      <c r="C624" s="2"/>
      <c r="E624" s="40"/>
    </row>
    <row r="625" spans="3:5" x14ac:dyDescent="0.25">
      <c r="C625" s="2"/>
      <c r="E625" s="40"/>
    </row>
    <row r="626" spans="3:5" x14ac:dyDescent="0.25">
      <c r="C626" s="2"/>
      <c r="E626" s="40"/>
    </row>
    <row r="627" spans="3:5" x14ac:dyDescent="0.25">
      <c r="C627" s="2"/>
      <c r="E627" s="40"/>
    </row>
    <row r="628" spans="3:5" x14ac:dyDescent="0.25">
      <c r="C628" s="2"/>
      <c r="E628" s="40"/>
    </row>
    <row r="629" spans="3:5" x14ac:dyDescent="0.25">
      <c r="C629" s="2"/>
      <c r="E629" s="40"/>
    </row>
    <row r="630" spans="3:5" x14ac:dyDescent="0.25">
      <c r="C630" s="2"/>
      <c r="E630" s="40"/>
    </row>
    <row r="631" spans="3:5" x14ac:dyDescent="0.25">
      <c r="C631" s="2"/>
      <c r="E631" s="40"/>
    </row>
    <row r="632" spans="3:5" x14ac:dyDescent="0.25">
      <c r="C632" s="2"/>
      <c r="E632" s="40"/>
    </row>
    <row r="633" spans="3:5" x14ac:dyDescent="0.25">
      <c r="C633" s="2"/>
      <c r="E633" s="40"/>
    </row>
    <row r="634" spans="3:5" x14ac:dyDescent="0.25">
      <c r="C634" s="2"/>
      <c r="E634" s="40"/>
    </row>
    <row r="635" spans="3:5" x14ac:dyDescent="0.25">
      <c r="C635" s="2"/>
      <c r="E635" s="40"/>
    </row>
    <row r="636" spans="3:5" x14ac:dyDescent="0.25">
      <c r="C636" s="2"/>
      <c r="E636" s="40"/>
    </row>
    <row r="637" spans="3:5" x14ac:dyDescent="0.25">
      <c r="C637" s="2"/>
      <c r="E637" s="40"/>
    </row>
    <row r="638" spans="3:5" x14ac:dyDescent="0.25">
      <c r="C638" s="2"/>
      <c r="E638" s="40"/>
    </row>
    <row r="639" spans="3:5" x14ac:dyDescent="0.25">
      <c r="C639" s="2"/>
      <c r="E639" s="40"/>
    </row>
    <row r="640" spans="3:5" x14ac:dyDescent="0.25">
      <c r="C640" s="2"/>
      <c r="E640" s="40"/>
    </row>
    <row r="641" spans="3:5" x14ac:dyDescent="0.25">
      <c r="C641" s="2"/>
      <c r="E641" s="40"/>
    </row>
    <row r="642" spans="3:5" x14ac:dyDescent="0.25">
      <c r="C642" s="2"/>
      <c r="E642" s="40"/>
    </row>
    <row r="643" spans="3:5" x14ac:dyDescent="0.25">
      <c r="C643" s="2"/>
      <c r="E643" s="40"/>
    </row>
    <row r="644" spans="3:5" x14ac:dyDescent="0.25">
      <c r="C644" s="2"/>
      <c r="E644" s="40"/>
    </row>
    <row r="645" spans="3:5" x14ac:dyDescent="0.25">
      <c r="C645" s="2"/>
      <c r="E645" s="40"/>
    </row>
    <row r="646" spans="3:5" x14ac:dyDescent="0.25">
      <c r="C646" s="2"/>
      <c r="E646" s="40"/>
    </row>
    <row r="647" spans="3:5" x14ac:dyDescent="0.25">
      <c r="C647" s="2"/>
      <c r="E647" s="40"/>
    </row>
    <row r="648" spans="3:5" x14ac:dyDescent="0.25">
      <c r="C648" s="2"/>
      <c r="E648" s="40"/>
    </row>
    <row r="649" spans="3:5" x14ac:dyDescent="0.25">
      <c r="C649" s="2"/>
      <c r="E649" s="40"/>
    </row>
    <row r="650" spans="3:5" x14ac:dyDescent="0.25">
      <c r="C650" s="2"/>
      <c r="E650" s="40"/>
    </row>
    <row r="651" spans="3:5" x14ac:dyDescent="0.25">
      <c r="C651" s="2"/>
      <c r="E651" s="40"/>
    </row>
    <row r="652" spans="3:5" x14ac:dyDescent="0.25">
      <c r="C652" s="2"/>
      <c r="E652" s="40"/>
    </row>
    <row r="653" spans="3:5" x14ac:dyDescent="0.25">
      <c r="C653" s="2"/>
      <c r="E653" s="40"/>
    </row>
    <row r="654" spans="3:5" x14ac:dyDescent="0.25">
      <c r="C654" s="2"/>
      <c r="E654" s="40"/>
    </row>
    <row r="655" spans="3:5" x14ac:dyDescent="0.25">
      <c r="C655" s="2"/>
      <c r="E655" s="40"/>
    </row>
    <row r="656" spans="3:5" x14ac:dyDescent="0.25">
      <c r="C656" s="2"/>
      <c r="E656" s="40"/>
    </row>
    <row r="657" spans="3:5" x14ac:dyDescent="0.25">
      <c r="C657" s="2"/>
      <c r="E657" s="40"/>
    </row>
    <row r="658" spans="3:5" x14ac:dyDescent="0.25">
      <c r="C658" s="2"/>
      <c r="E658" s="40"/>
    </row>
    <row r="659" spans="3:5" x14ac:dyDescent="0.25">
      <c r="C659" s="2"/>
      <c r="E659" s="40"/>
    </row>
    <row r="660" spans="3:5" x14ac:dyDescent="0.25">
      <c r="C660" s="2"/>
      <c r="E660" s="40"/>
    </row>
    <row r="661" spans="3:5" x14ac:dyDescent="0.25">
      <c r="C661" s="2"/>
      <c r="E661" s="40"/>
    </row>
    <row r="662" spans="3:5" x14ac:dyDescent="0.25">
      <c r="C662" s="2"/>
      <c r="E662" s="40"/>
    </row>
    <row r="663" spans="3:5" x14ac:dyDescent="0.25">
      <c r="C663" s="2"/>
      <c r="E663" s="40"/>
    </row>
    <row r="664" spans="3:5" x14ac:dyDescent="0.25">
      <c r="C664" s="2"/>
      <c r="E664" s="40"/>
    </row>
    <row r="665" spans="3:5" x14ac:dyDescent="0.25">
      <c r="C665" s="2"/>
      <c r="E665" s="40"/>
    </row>
    <row r="666" spans="3:5" x14ac:dyDescent="0.25">
      <c r="C666" s="2"/>
      <c r="E666" s="40"/>
    </row>
    <row r="667" spans="3:5" x14ac:dyDescent="0.25">
      <c r="C667" s="2"/>
      <c r="E667" s="40"/>
    </row>
    <row r="668" spans="3:5" x14ac:dyDescent="0.25">
      <c r="C668" s="2"/>
      <c r="E668" s="40"/>
    </row>
    <row r="669" spans="3:5" x14ac:dyDescent="0.25">
      <c r="C669" s="2"/>
      <c r="E669" s="40"/>
    </row>
    <row r="670" spans="3:5" x14ac:dyDescent="0.25">
      <c r="C670" s="2"/>
      <c r="E670" s="40"/>
    </row>
    <row r="671" spans="3:5" x14ac:dyDescent="0.25">
      <c r="C671" s="2"/>
      <c r="E671" s="40"/>
    </row>
    <row r="672" spans="3:5" x14ac:dyDescent="0.25">
      <c r="C672" s="2"/>
      <c r="E672" s="40"/>
    </row>
    <row r="673" spans="3:5" x14ac:dyDescent="0.25">
      <c r="C673" s="2"/>
      <c r="E673" s="40"/>
    </row>
    <row r="674" spans="3:5" x14ac:dyDescent="0.25">
      <c r="C674" s="2"/>
      <c r="E674" s="40"/>
    </row>
    <row r="675" spans="3:5" x14ac:dyDescent="0.25">
      <c r="C675" s="2"/>
      <c r="E675" s="40"/>
    </row>
    <row r="676" spans="3:5" x14ac:dyDescent="0.25">
      <c r="C676" s="2"/>
      <c r="E676" s="40"/>
    </row>
    <row r="677" spans="3:5" x14ac:dyDescent="0.25">
      <c r="C677" s="2"/>
      <c r="E677" s="40"/>
    </row>
    <row r="678" spans="3:5" x14ac:dyDescent="0.25">
      <c r="C678" s="2"/>
      <c r="E678" s="40"/>
    </row>
    <row r="679" spans="3:5" x14ac:dyDescent="0.25">
      <c r="C679" s="2"/>
      <c r="E679" s="40"/>
    </row>
    <row r="680" spans="3:5" x14ac:dyDescent="0.25">
      <c r="C680" s="2"/>
      <c r="E680" s="40"/>
    </row>
    <row r="681" spans="3:5" x14ac:dyDescent="0.25">
      <c r="C681" s="2"/>
      <c r="E681" s="40"/>
    </row>
    <row r="682" spans="3:5" x14ac:dyDescent="0.25">
      <c r="C682" s="2"/>
      <c r="E682" s="40"/>
    </row>
    <row r="683" spans="3:5" x14ac:dyDescent="0.25">
      <c r="C683" s="2"/>
      <c r="E683" s="40"/>
    </row>
    <row r="684" spans="3:5" x14ac:dyDescent="0.25">
      <c r="C684" s="2"/>
      <c r="E684" s="40"/>
    </row>
    <row r="685" spans="3:5" x14ac:dyDescent="0.25">
      <c r="C685" s="2"/>
      <c r="E685" s="40"/>
    </row>
    <row r="686" spans="3:5" x14ac:dyDescent="0.25">
      <c r="C686" s="2"/>
      <c r="E686" s="40"/>
    </row>
    <row r="687" spans="3:5" x14ac:dyDescent="0.25">
      <c r="C687" s="2"/>
      <c r="E687" s="40"/>
    </row>
    <row r="688" spans="3:5" x14ac:dyDescent="0.25">
      <c r="C688" s="2"/>
      <c r="E688" s="40"/>
    </row>
    <row r="689" spans="3:5" x14ac:dyDescent="0.25">
      <c r="C689" s="2"/>
      <c r="E689" s="40"/>
    </row>
    <row r="690" spans="3:5" x14ac:dyDescent="0.25">
      <c r="C690" s="2"/>
      <c r="E690" s="40"/>
    </row>
    <row r="691" spans="3:5" x14ac:dyDescent="0.25">
      <c r="C691" s="2"/>
      <c r="E691" s="40"/>
    </row>
    <row r="692" spans="3:5" x14ac:dyDescent="0.25">
      <c r="C692" s="2"/>
      <c r="E692" s="40"/>
    </row>
    <row r="693" spans="3:5" x14ac:dyDescent="0.25">
      <c r="C693" s="2"/>
      <c r="E693" s="40"/>
    </row>
    <row r="694" spans="3:5" x14ac:dyDescent="0.25">
      <c r="C694" s="2"/>
      <c r="E694" s="40"/>
    </row>
    <row r="695" spans="3:5" x14ac:dyDescent="0.25">
      <c r="C695" s="2"/>
      <c r="E695" s="40"/>
    </row>
    <row r="696" spans="3:5" x14ac:dyDescent="0.25">
      <c r="C696" s="2"/>
      <c r="E696" s="40"/>
    </row>
    <row r="697" spans="3:5" x14ac:dyDescent="0.25">
      <c r="C697" s="2"/>
      <c r="E697" s="40"/>
    </row>
    <row r="698" spans="3:5" x14ac:dyDescent="0.25">
      <c r="C698" s="2"/>
      <c r="E698" s="40"/>
    </row>
    <row r="699" spans="3:5" x14ac:dyDescent="0.25">
      <c r="C699" s="2"/>
      <c r="E699" s="40"/>
    </row>
    <row r="700" spans="3:5" x14ac:dyDescent="0.25">
      <c r="C700" s="2"/>
      <c r="E700" s="40"/>
    </row>
    <row r="701" spans="3:5" x14ac:dyDescent="0.25">
      <c r="C701" s="2"/>
      <c r="E701" s="40"/>
    </row>
    <row r="702" spans="3:5" x14ac:dyDescent="0.25">
      <c r="C702" s="2"/>
      <c r="E702" s="40"/>
    </row>
    <row r="703" spans="3:5" x14ac:dyDescent="0.25">
      <c r="C703" s="2"/>
      <c r="E703" s="40"/>
    </row>
    <row r="704" spans="3:5" x14ac:dyDescent="0.25">
      <c r="C704" s="2"/>
      <c r="E704" s="40"/>
    </row>
    <row r="705" spans="3:5" x14ac:dyDescent="0.25">
      <c r="C705" s="2"/>
      <c r="E705" s="40"/>
    </row>
    <row r="706" spans="3:5" x14ac:dyDescent="0.25">
      <c r="C706" s="2"/>
      <c r="E706" s="40"/>
    </row>
    <row r="707" spans="3:5" x14ac:dyDescent="0.25">
      <c r="C707" s="2"/>
      <c r="E707" s="40"/>
    </row>
    <row r="708" spans="3:5" x14ac:dyDescent="0.25">
      <c r="C708" s="2"/>
      <c r="E708" s="40"/>
    </row>
    <row r="709" spans="3:5" x14ac:dyDescent="0.25">
      <c r="C709" s="2"/>
      <c r="E709" s="40"/>
    </row>
    <row r="710" spans="3:5" x14ac:dyDescent="0.25">
      <c r="C710" s="2"/>
      <c r="E710" s="40"/>
    </row>
    <row r="711" spans="3:5" x14ac:dyDescent="0.25">
      <c r="C711" s="2"/>
      <c r="E711" s="40"/>
    </row>
    <row r="712" spans="3:5" x14ac:dyDescent="0.25">
      <c r="C712" s="2"/>
      <c r="E712" s="40"/>
    </row>
    <row r="713" spans="3:5" x14ac:dyDescent="0.25">
      <c r="C713" s="2"/>
      <c r="E713" s="40"/>
    </row>
    <row r="714" spans="3:5" x14ac:dyDescent="0.25">
      <c r="C714" s="2"/>
      <c r="E714" s="40"/>
    </row>
    <row r="715" spans="3:5" x14ac:dyDescent="0.25">
      <c r="C715" s="2"/>
      <c r="E715" s="40"/>
    </row>
    <row r="716" spans="3:5" x14ac:dyDescent="0.25">
      <c r="C716" s="2"/>
      <c r="E716" s="40"/>
    </row>
    <row r="717" spans="3:5" x14ac:dyDescent="0.25">
      <c r="C717" s="2"/>
      <c r="E717" s="40"/>
    </row>
    <row r="718" spans="3:5" x14ac:dyDescent="0.25">
      <c r="C718" s="2"/>
      <c r="E718" s="40"/>
    </row>
    <row r="719" spans="3:5" x14ac:dyDescent="0.25">
      <c r="C719" s="2"/>
      <c r="E719" s="40"/>
    </row>
    <row r="720" spans="3:5" x14ac:dyDescent="0.25">
      <c r="C720" s="2"/>
      <c r="E720" s="40"/>
    </row>
    <row r="721" spans="3:5" x14ac:dyDescent="0.25">
      <c r="C721" s="2"/>
      <c r="E721" s="40"/>
    </row>
    <row r="722" spans="3:5" x14ac:dyDescent="0.25">
      <c r="C722" s="2"/>
      <c r="E722" s="40"/>
    </row>
    <row r="723" spans="3:5" x14ac:dyDescent="0.25">
      <c r="C723" s="2"/>
      <c r="E723" s="40"/>
    </row>
    <row r="724" spans="3:5" x14ac:dyDescent="0.25">
      <c r="C724" s="2"/>
      <c r="E724" s="40"/>
    </row>
    <row r="725" spans="3:5" x14ac:dyDescent="0.25">
      <c r="C725" s="2"/>
      <c r="E725" s="40"/>
    </row>
    <row r="726" spans="3:5" x14ac:dyDescent="0.25">
      <c r="C726" s="2"/>
      <c r="E726" s="40"/>
    </row>
    <row r="727" spans="3:5" x14ac:dyDescent="0.25">
      <c r="C727" s="2"/>
      <c r="E727" s="40"/>
    </row>
    <row r="728" spans="3:5" x14ac:dyDescent="0.25">
      <c r="C728" s="2"/>
      <c r="E728" s="40"/>
    </row>
    <row r="729" spans="3:5" x14ac:dyDescent="0.25">
      <c r="C729" s="2"/>
      <c r="E729" s="40"/>
    </row>
    <row r="730" spans="3:5" x14ac:dyDescent="0.25">
      <c r="C730" s="2"/>
      <c r="E730" s="40"/>
    </row>
    <row r="731" spans="3:5" x14ac:dyDescent="0.25">
      <c r="C731" s="2"/>
      <c r="E731" s="40"/>
    </row>
    <row r="732" spans="3:5" x14ac:dyDescent="0.25">
      <c r="C732" s="2"/>
      <c r="E732" s="40"/>
    </row>
    <row r="733" spans="3:5" x14ac:dyDescent="0.25">
      <c r="C733" s="2"/>
      <c r="E733" s="40"/>
    </row>
    <row r="734" spans="3:5" x14ac:dyDescent="0.25">
      <c r="C734" s="2"/>
      <c r="E734" s="40"/>
    </row>
    <row r="735" spans="3:5" x14ac:dyDescent="0.25">
      <c r="C735" s="2"/>
      <c r="E735" s="40"/>
    </row>
    <row r="736" spans="3:5" x14ac:dyDescent="0.25">
      <c r="C736" s="2"/>
      <c r="E736" s="40"/>
    </row>
    <row r="737" spans="3:5" x14ac:dyDescent="0.25">
      <c r="C737" s="2"/>
      <c r="E737" s="40"/>
    </row>
    <row r="738" spans="3:5" x14ac:dyDescent="0.25">
      <c r="C738" s="2"/>
      <c r="E738" s="40"/>
    </row>
    <row r="739" spans="3:5" x14ac:dyDescent="0.25">
      <c r="C739" s="2"/>
      <c r="E739" s="40"/>
    </row>
    <row r="740" spans="3:5" x14ac:dyDescent="0.25">
      <c r="C740" s="2"/>
      <c r="E740" s="40"/>
    </row>
    <row r="741" spans="3:5" x14ac:dyDescent="0.25">
      <c r="C741" s="2"/>
      <c r="E741" s="40"/>
    </row>
    <row r="742" spans="3:5" x14ac:dyDescent="0.25">
      <c r="C742" s="2"/>
      <c r="E742" s="40"/>
    </row>
    <row r="743" spans="3:5" x14ac:dyDescent="0.25">
      <c r="C743" s="2"/>
      <c r="E743" s="40"/>
    </row>
    <row r="744" spans="3:5" x14ac:dyDescent="0.25">
      <c r="C744" s="2"/>
      <c r="E744" s="40"/>
    </row>
    <row r="745" spans="3:5" x14ac:dyDescent="0.25">
      <c r="C745" s="2"/>
      <c r="E745" s="40"/>
    </row>
    <row r="746" spans="3:5" x14ac:dyDescent="0.25">
      <c r="C746" s="2"/>
      <c r="E746" s="40"/>
    </row>
    <row r="747" spans="3:5" x14ac:dyDescent="0.25">
      <c r="C747" s="2"/>
      <c r="E747" s="40"/>
    </row>
    <row r="748" spans="3:5" x14ac:dyDescent="0.25">
      <c r="C748" s="2"/>
      <c r="E748" s="40"/>
    </row>
    <row r="749" spans="3:5" x14ac:dyDescent="0.25">
      <c r="C749" s="2"/>
      <c r="E749" s="40"/>
    </row>
    <row r="750" spans="3:5" x14ac:dyDescent="0.25">
      <c r="C750" s="2"/>
      <c r="E750" s="40"/>
    </row>
    <row r="751" spans="3:5" x14ac:dyDescent="0.25">
      <c r="C751" s="2"/>
      <c r="E751" s="40"/>
    </row>
    <row r="752" spans="3:5" x14ac:dyDescent="0.25">
      <c r="C752" s="2"/>
      <c r="E752" s="40"/>
    </row>
    <row r="753" spans="3:5" x14ac:dyDescent="0.25">
      <c r="C753" s="2"/>
      <c r="E753" s="40"/>
    </row>
    <row r="754" spans="3:5" x14ac:dyDescent="0.25">
      <c r="C754" s="2"/>
      <c r="E754" s="40"/>
    </row>
    <row r="755" spans="3:5" x14ac:dyDescent="0.25">
      <c r="C755" s="2"/>
      <c r="E755" s="40"/>
    </row>
    <row r="756" spans="3:5" x14ac:dyDescent="0.25">
      <c r="C756" s="2"/>
      <c r="E756" s="40"/>
    </row>
    <row r="757" spans="3:5" x14ac:dyDescent="0.25">
      <c r="C757" s="2"/>
      <c r="E757" s="40"/>
    </row>
    <row r="758" spans="3:5" x14ac:dyDescent="0.25">
      <c r="C758" s="2"/>
      <c r="E758" s="40"/>
    </row>
    <row r="759" spans="3:5" x14ac:dyDescent="0.25">
      <c r="C759" s="2"/>
      <c r="E759" s="40"/>
    </row>
    <row r="760" spans="3:5" x14ac:dyDescent="0.25">
      <c r="C760" s="2"/>
      <c r="E760" s="40"/>
    </row>
    <row r="761" spans="3:5" x14ac:dyDescent="0.25">
      <c r="C761" s="2"/>
      <c r="E761" s="40"/>
    </row>
    <row r="762" spans="3:5" x14ac:dyDescent="0.25">
      <c r="C762" s="2"/>
      <c r="E762" s="40"/>
    </row>
    <row r="763" spans="3:5" x14ac:dyDescent="0.25">
      <c r="C763" s="2"/>
      <c r="E763" s="40"/>
    </row>
    <row r="764" spans="3:5" x14ac:dyDescent="0.25">
      <c r="C764" s="2"/>
      <c r="E764" s="40"/>
    </row>
    <row r="765" spans="3:5" x14ac:dyDescent="0.25">
      <c r="C765" s="2"/>
      <c r="E765" s="40"/>
    </row>
    <row r="766" spans="3:5" x14ac:dyDescent="0.25">
      <c r="C766" s="2"/>
      <c r="E766" s="40"/>
    </row>
    <row r="767" spans="3:5" x14ac:dyDescent="0.25">
      <c r="C767" s="2"/>
      <c r="E767" s="40"/>
    </row>
    <row r="768" spans="3:5" x14ac:dyDescent="0.25">
      <c r="C768" s="2"/>
      <c r="E768" s="40"/>
    </row>
    <row r="769" spans="3:5" x14ac:dyDescent="0.25">
      <c r="C769" s="2"/>
      <c r="E769" s="40"/>
    </row>
    <row r="770" spans="3:5" x14ac:dyDescent="0.25">
      <c r="C770" s="2"/>
      <c r="E770" s="40"/>
    </row>
    <row r="771" spans="3:5" x14ac:dyDescent="0.25">
      <c r="C771" s="2"/>
      <c r="E771" s="40"/>
    </row>
    <row r="772" spans="3:5" x14ac:dyDescent="0.25">
      <c r="C772" s="2"/>
      <c r="E772" s="40"/>
    </row>
    <row r="773" spans="3:5" x14ac:dyDescent="0.25">
      <c r="C773" s="2"/>
      <c r="E773" s="40"/>
    </row>
    <row r="774" spans="3:5" x14ac:dyDescent="0.25">
      <c r="C774" s="2"/>
      <c r="E774" s="40"/>
    </row>
    <row r="775" spans="3:5" x14ac:dyDescent="0.25">
      <c r="C775" s="2"/>
      <c r="E775" s="40"/>
    </row>
    <row r="776" spans="3:5" x14ac:dyDescent="0.25">
      <c r="C776" s="2"/>
      <c r="E776" s="40"/>
    </row>
    <row r="777" spans="3:5" x14ac:dyDescent="0.25">
      <c r="C777" s="2"/>
      <c r="E777" s="40"/>
    </row>
    <row r="778" spans="3:5" x14ac:dyDescent="0.25">
      <c r="C778" s="2"/>
      <c r="E778" s="40"/>
    </row>
    <row r="779" spans="3:5" x14ac:dyDescent="0.25">
      <c r="C779" s="2"/>
      <c r="E779" s="40"/>
    </row>
    <row r="780" spans="3:5" x14ac:dyDescent="0.25">
      <c r="C780" s="2"/>
      <c r="E780" s="40"/>
    </row>
    <row r="781" spans="3:5" x14ac:dyDescent="0.25">
      <c r="C781" s="2"/>
      <c r="E781" s="40"/>
    </row>
    <row r="782" spans="3:5" x14ac:dyDescent="0.25">
      <c r="C782" s="2"/>
      <c r="E782" s="40"/>
    </row>
    <row r="783" spans="3:5" x14ac:dyDescent="0.25">
      <c r="C783" s="2"/>
      <c r="E783" s="40"/>
    </row>
    <row r="784" spans="3:5" x14ac:dyDescent="0.25">
      <c r="C784" s="2"/>
      <c r="E784" s="40"/>
    </row>
    <row r="785" spans="3:5" x14ac:dyDescent="0.25">
      <c r="C785" s="2"/>
      <c r="E785" s="40"/>
    </row>
    <row r="786" spans="3:5" x14ac:dyDescent="0.25">
      <c r="C786" s="2"/>
      <c r="E786" s="40"/>
    </row>
    <row r="787" spans="3:5" x14ac:dyDescent="0.25">
      <c r="C787" s="2"/>
      <c r="E787" s="40"/>
    </row>
    <row r="788" spans="3:5" x14ac:dyDescent="0.25">
      <c r="C788" s="2"/>
      <c r="E788" s="40"/>
    </row>
    <row r="789" spans="3:5" x14ac:dyDescent="0.25">
      <c r="C789" s="2"/>
      <c r="E789" s="40"/>
    </row>
    <row r="790" spans="3:5" x14ac:dyDescent="0.25">
      <c r="C790" s="2"/>
      <c r="E790" s="40"/>
    </row>
    <row r="791" spans="3:5" x14ac:dyDescent="0.25">
      <c r="C791" s="2"/>
      <c r="E791" s="40"/>
    </row>
    <row r="792" spans="3:5" x14ac:dyDescent="0.25">
      <c r="C792" s="2"/>
      <c r="E792" s="40"/>
    </row>
    <row r="793" spans="3:5" x14ac:dyDescent="0.25">
      <c r="C793" s="2"/>
      <c r="E793" s="40"/>
    </row>
    <row r="794" spans="3:5" x14ac:dyDescent="0.25">
      <c r="C794" s="2"/>
      <c r="E794" s="40"/>
    </row>
    <row r="795" spans="3:5" x14ac:dyDescent="0.25">
      <c r="C795" s="2"/>
      <c r="E795" s="40"/>
    </row>
    <row r="796" spans="3:5" x14ac:dyDescent="0.25">
      <c r="C796" s="2"/>
      <c r="E796" s="40"/>
    </row>
    <row r="797" spans="3:5" x14ac:dyDescent="0.25">
      <c r="C797" s="2"/>
      <c r="E797" s="40"/>
    </row>
    <row r="798" spans="3:5" x14ac:dyDescent="0.25">
      <c r="C798" s="2"/>
      <c r="E798" s="40"/>
    </row>
    <row r="799" spans="3:5" x14ac:dyDescent="0.25">
      <c r="C799" s="2"/>
      <c r="E799" s="40"/>
    </row>
    <row r="800" spans="3:5" x14ac:dyDescent="0.25">
      <c r="C800" s="2"/>
      <c r="E800" s="40"/>
    </row>
    <row r="801" spans="3:5" x14ac:dyDescent="0.25">
      <c r="C801" s="2"/>
      <c r="E801" s="40"/>
    </row>
    <row r="802" spans="3:5" x14ac:dyDescent="0.25">
      <c r="C802" s="2"/>
      <c r="E802" s="40"/>
    </row>
    <row r="803" spans="3:5" x14ac:dyDescent="0.25">
      <c r="C803" s="2"/>
      <c r="E803" s="40"/>
    </row>
    <row r="804" spans="3:5" x14ac:dyDescent="0.25">
      <c r="C804" s="2"/>
      <c r="E804" s="40"/>
    </row>
    <row r="805" spans="3:5" x14ac:dyDescent="0.25">
      <c r="C805" s="2"/>
      <c r="E805" s="40"/>
    </row>
    <row r="806" spans="3:5" x14ac:dyDescent="0.25">
      <c r="C806" s="2"/>
      <c r="E806" s="40"/>
    </row>
    <row r="807" spans="3:5" x14ac:dyDescent="0.25">
      <c r="C807" s="2"/>
      <c r="E807" s="40"/>
    </row>
    <row r="808" spans="3:5" x14ac:dyDescent="0.25">
      <c r="C808" s="2"/>
      <c r="E808" s="40"/>
    </row>
    <row r="809" spans="3:5" x14ac:dyDescent="0.25">
      <c r="C809" s="2"/>
      <c r="E809" s="40"/>
    </row>
    <row r="810" spans="3:5" x14ac:dyDescent="0.25">
      <c r="C810" s="2"/>
      <c r="E810" s="40"/>
    </row>
    <row r="811" spans="3:5" x14ac:dyDescent="0.25">
      <c r="C811" s="2"/>
      <c r="E811" s="40"/>
    </row>
    <row r="812" spans="3:5" x14ac:dyDescent="0.25">
      <c r="C812" s="2"/>
      <c r="E812" s="40"/>
    </row>
    <row r="813" spans="3:5" x14ac:dyDescent="0.25">
      <c r="C813" s="2"/>
      <c r="E813" s="40"/>
    </row>
    <row r="814" spans="3:5" x14ac:dyDescent="0.25">
      <c r="C814" s="2"/>
      <c r="E814" s="40"/>
    </row>
    <row r="815" spans="3:5" x14ac:dyDescent="0.25">
      <c r="C815" s="2"/>
      <c r="E815" s="40"/>
    </row>
    <row r="816" spans="3:5" x14ac:dyDescent="0.25">
      <c r="C816" s="2"/>
      <c r="E816" s="40"/>
    </row>
    <row r="817" spans="3:5" x14ac:dyDescent="0.25">
      <c r="C817" s="2"/>
      <c r="E817" s="40"/>
    </row>
    <row r="818" spans="3:5" x14ac:dyDescent="0.25">
      <c r="C818" s="2"/>
      <c r="E818" s="40"/>
    </row>
    <row r="819" spans="3:5" x14ac:dyDescent="0.25">
      <c r="C819" s="2"/>
      <c r="E819" s="40"/>
    </row>
    <row r="820" spans="3:5" x14ac:dyDescent="0.25">
      <c r="C820" s="2"/>
      <c r="E820" s="40"/>
    </row>
    <row r="821" spans="3:5" x14ac:dyDescent="0.25">
      <c r="C821" s="2"/>
      <c r="E821" s="40"/>
    </row>
    <row r="822" spans="3:5" x14ac:dyDescent="0.25">
      <c r="C822" s="2"/>
      <c r="E822" s="40"/>
    </row>
    <row r="823" spans="3:5" x14ac:dyDescent="0.25">
      <c r="C823" s="2"/>
      <c r="E823" s="40"/>
    </row>
    <row r="824" spans="3:5" x14ac:dyDescent="0.25">
      <c r="C824" s="2"/>
      <c r="E824" s="40"/>
    </row>
    <row r="825" spans="3:5" x14ac:dyDescent="0.25">
      <c r="C825" s="2"/>
      <c r="E825" s="40"/>
    </row>
    <row r="826" spans="3:5" x14ac:dyDescent="0.25">
      <c r="C826" s="2"/>
      <c r="E826" s="40"/>
    </row>
    <row r="827" spans="3:5" x14ac:dyDescent="0.25">
      <c r="C827" s="2"/>
      <c r="E827" s="40"/>
    </row>
    <row r="828" spans="3:5" x14ac:dyDescent="0.25">
      <c r="C828" s="2"/>
      <c r="E828" s="40"/>
    </row>
    <row r="829" spans="3:5" x14ac:dyDescent="0.25">
      <c r="C829" s="2"/>
      <c r="E829" s="40"/>
    </row>
    <row r="830" spans="3:5" x14ac:dyDescent="0.25">
      <c r="C830" s="2"/>
      <c r="E830" s="40"/>
    </row>
    <row r="831" spans="3:5" x14ac:dyDescent="0.25">
      <c r="C831" s="2"/>
      <c r="E831" s="40"/>
    </row>
    <row r="832" spans="3:5" x14ac:dyDescent="0.25">
      <c r="C832" s="2"/>
      <c r="E832" s="40"/>
    </row>
    <row r="833" spans="3:5" x14ac:dyDescent="0.25">
      <c r="C833" s="2"/>
      <c r="E833" s="40"/>
    </row>
    <row r="834" spans="3:5" x14ac:dyDescent="0.25">
      <c r="C834" s="2"/>
      <c r="E834" s="40"/>
    </row>
    <row r="835" spans="3:5" x14ac:dyDescent="0.25">
      <c r="C835" s="2"/>
      <c r="E835" s="40"/>
    </row>
    <row r="836" spans="3:5" x14ac:dyDescent="0.25">
      <c r="C836" s="2"/>
      <c r="E836" s="40"/>
    </row>
    <row r="837" spans="3:5" x14ac:dyDescent="0.25">
      <c r="C837" s="2"/>
      <c r="E837" s="40"/>
    </row>
    <row r="838" spans="3:5" x14ac:dyDescent="0.25">
      <c r="C838" s="2"/>
      <c r="E838" s="40"/>
    </row>
    <row r="839" spans="3:5" x14ac:dyDescent="0.25">
      <c r="C839" s="2"/>
      <c r="E839" s="40"/>
    </row>
    <row r="840" spans="3:5" x14ac:dyDescent="0.25">
      <c r="C840" s="2"/>
      <c r="E840" s="40"/>
    </row>
    <row r="841" spans="3:5" x14ac:dyDescent="0.25">
      <c r="C841" s="2"/>
      <c r="E841" s="40"/>
    </row>
    <row r="842" spans="3:5" x14ac:dyDescent="0.25">
      <c r="C842" s="2"/>
      <c r="E842" s="40"/>
    </row>
    <row r="843" spans="3:5" x14ac:dyDescent="0.25">
      <c r="C843" s="2"/>
      <c r="E843" s="40"/>
    </row>
    <row r="844" spans="3:5" x14ac:dyDescent="0.25">
      <c r="C844" s="2"/>
      <c r="E844" s="40"/>
    </row>
    <row r="845" spans="3:5" x14ac:dyDescent="0.25">
      <c r="C845" s="2"/>
      <c r="E845" s="40"/>
    </row>
    <row r="846" spans="3:5" x14ac:dyDescent="0.25">
      <c r="C846" s="2"/>
      <c r="E846" s="40"/>
    </row>
    <row r="847" spans="3:5" x14ac:dyDescent="0.25">
      <c r="C847" s="2"/>
      <c r="E847" s="40"/>
    </row>
    <row r="848" spans="3:5" x14ac:dyDescent="0.25">
      <c r="C848" s="2"/>
      <c r="E848" s="40"/>
    </row>
    <row r="849" spans="3:5" x14ac:dyDescent="0.25">
      <c r="C849" s="2"/>
      <c r="E849" s="40"/>
    </row>
    <row r="850" spans="3:5" x14ac:dyDescent="0.25">
      <c r="C850" s="2"/>
      <c r="E850" s="40"/>
    </row>
    <row r="851" spans="3:5" x14ac:dyDescent="0.25">
      <c r="C851" s="2"/>
      <c r="E851" s="40"/>
    </row>
    <row r="852" spans="3:5" x14ac:dyDescent="0.25">
      <c r="C852" s="2"/>
      <c r="E852" s="40"/>
    </row>
    <row r="853" spans="3:5" x14ac:dyDescent="0.25">
      <c r="C853" s="2"/>
      <c r="E853" s="40"/>
    </row>
    <row r="854" spans="3:5" x14ac:dyDescent="0.25">
      <c r="C854" s="2"/>
      <c r="E854" s="40"/>
    </row>
    <row r="855" spans="3:5" x14ac:dyDescent="0.25">
      <c r="C855" s="2"/>
      <c r="E855" s="40"/>
    </row>
    <row r="856" spans="3:5" x14ac:dyDescent="0.25">
      <c r="C856" s="2"/>
      <c r="E856" s="40"/>
    </row>
    <row r="857" spans="3:5" x14ac:dyDescent="0.25">
      <c r="C857" s="2"/>
      <c r="E857" s="40"/>
    </row>
    <row r="858" spans="3:5" x14ac:dyDescent="0.25">
      <c r="C858" s="2"/>
      <c r="E858" s="40"/>
    </row>
    <row r="859" spans="3:5" x14ac:dyDescent="0.25">
      <c r="C859" s="2"/>
      <c r="E859" s="40"/>
    </row>
    <row r="860" spans="3:5" x14ac:dyDescent="0.25">
      <c r="C860" s="2"/>
      <c r="E860" s="40"/>
    </row>
    <row r="861" spans="3:5" x14ac:dyDescent="0.25">
      <c r="C861" s="2"/>
      <c r="E861" s="40"/>
    </row>
    <row r="862" spans="3:5" x14ac:dyDescent="0.25">
      <c r="C862" s="2"/>
      <c r="E862" s="40"/>
    </row>
    <row r="863" spans="3:5" x14ac:dyDescent="0.25">
      <c r="C863" s="2"/>
      <c r="E863" s="40"/>
    </row>
    <row r="864" spans="3:5" x14ac:dyDescent="0.25">
      <c r="C864" s="2"/>
      <c r="E864" s="40"/>
    </row>
    <row r="865" spans="3:5" x14ac:dyDescent="0.25">
      <c r="C865" s="2"/>
      <c r="E865" s="40"/>
    </row>
    <row r="866" spans="3:5" x14ac:dyDescent="0.25">
      <c r="C866" s="2"/>
      <c r="E866" s="40"/>
    </row>
    <row r="867" spans="3:5" x14ac:dyDescent="0.25">
      <c r="C867" s="2"/>
      <c r="E867" s="40"/>
    </row>
    <row r="1200" spans="4:4" ht="30" x14ac:dyDescent="0.25">
      <c r="D1200" s="47" t="s">
        <v>81</v>
      </c>
    </row>
  </sheetData>
  <dataConsolidate topLabels="1"/>
  <dataValidations disablePrompts="1" count="3">
    <dataValidation type="list" allowBlank="1" showInputMessage="1" showErrorMessage="1" sqref="I2:I867">
      <formula1>#REF!</formula1>
    </dataValidation>
    <dataValidation type="list" allowBlank="1" showInputMessage="1" showErrorMessage="1" sqref="J2:J867">
      <formula1>#REF!</formula1>
    </dataValidation>
    <dataValidation type="list" allowBlank="1" showInputMessage="1" showErrorMessage="1" sqref="K2:K867">
      <formula1>#REF!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H26"/>
  <sheetViews>
    <sheetView tabSelected="1" zoomScale="115" zoomScaleNormal="115" workbookViewId="0">
      <selection activeCell="E27" sqref="E27"/>
    </sheetView>
  </sheetViews>
  <sheetFormatPr baseColWidth="10" defaultRowHeight="15" x14ac:dyDescent="0.25"/>
  <cols>
    <col min="1" max="1" width="15" customWidth="1"/>
    <col min="2" max="2" width="17.42578125" customWidth="1"/>
    <col min="3" max="3" width="12.42578125" customWidth="1"/>
    <col min="4" max="4" width="52" customWidth="1"/>
    <col min="5" max="5" width="16.7109375" customWidth="1"/>
    <col min="6" max="6" width="17.28515625" customWidth="1"/>
    <col min="7" max="7" width="16.7109375" customWidth="1"/>
    <col min="8" max="8" width="30.140625" customWidth="1"/>
  </cols>
  <sheetData>
    <row r="1" spans="1:8" ht="15.75" x14ac:dyDescent="0.25">
      <c r="A1" s="60" t="s">
        <v>14</v>
      </c>
      <c r="B1" s="60"/>
      <c r="C1" s="60"/>
      <c r="D1" s="60"/>
      <c r="E1" s="60"/>
      <c r="F1" s="60"/>
      <c r="G1" s="60"/>
      <c r="H1" s="60"/>
    </row>
    <row r="2" spans="1:8" x14ac:dyDescent="0.25">
      <c r="A2" s="61" t="s">
        <v>15</v>
      </c>
      <c r="B2" s="61"/>
      <c r="C2" s="61"/>
      <c r="D2" s="61"/>
      <c r="E2" s="61"/>
      <c r="F2" s="61"/>
      <c r="G2" s="61"/>
      <c r="H2" s="61"/>
    </row>
    <row r="3" spans="1:8" x14ac:dyDescent="0.25">
      <c r="A3" s="61" t="s">
        <v>16</v>
      </c>
      <c r="B3" s="61"/>
      <c r="C3" s="61"/>
      <c r="D3" s="61"/>
      <c r="E3" s="61"/>
      <c r="F3" s="61"/>
      <c r="G3" s="61"/>
      <c r="H3" s="61"/>
    </row>
    <row r="4" spans="1:8" ht="15.75" x14ac:dyDescent="0.25">
      <c r="A4" s="62" t="s">
        <v>13</v>
      </c>
      <c r="B4" s="62"/>
      <c r="C4" s="62"/>
      <c r="D4" s="62"/>
      <c r="E4" s="62"/>
      <c r="F4" s="62"/>
      <c r="G4" s="62"/>
      <c r="H4" s="62"/>
    </row>
    <row r="5" spans="1:8" ht="19.5" customHeight="1" x14ac:dyDescent="0.4">
      <c r="B5" s="51"/>
      <c r="C5" s="51"/>
      <c r="D5" s="51" t="s">
        <v>88</v>
      </c>
      <c r="E5" s="51"/>
      <c r="F5" s="51"/>
      <c r="G5" s="51"/>
      <c r="H5" s="48" t="s">
        <v>87</v>
      </c>
    </row>
    <row r="6" spans="1:8" x14ac:dyDescent="0.25">
      <c r="A6" s="3"/>
      <c r="B6" s="3"/>
      <c r="C6" s="3"/>
      <c r="D6" s="3"/>
      <c r="E6" s="3"/>
      <c r="F6" s="3"/>
      <c r="G6" s="3"/>
    </row>
    <row r="7" spans="1:8" x14ac:dyDescent="0.25">
      <c r="A7" s="4" t="s">
        <v>17</v>
      </c>
      <c r="B7" s="3"/>
      <c r="C7" s="59"/>
      <c r="D7" s="59"/>
      <c r="E7" s="5" t="s">
        <v>7</v>
      </c>
      <c r="F7" s="54"/>
      <c r="G7" s="54"/>
      <c r="H7" s="54"/>
    </row>
    <row r="8" spans="1:8" x14ac:dyDescent="0.25">
      <c r="A8" s="3"/>
      <c r="B8" s="3"/>
      <c r="C8" s="3"/>
      <c r="D8" s="3"/>
      <c r="E8" s="5"/>
      <c r="F8" s="3"/>
      <c r="G8" s="3"/>
      <c r="H8" s="3"/>
    </row>
    <row r="9" spans="1:8" x14ac:dyDescent="0.25">
      <c r="A9" s="4" t="s">
        <v>18</v>
      </c>
      <c r="B9" s="3"/>
      <c r="C9" s="54"/>
      <c r="D9" s="54"/>
      <c r="E9" s="5" t="s">
        <v>6</v>
      </c>
      <c r="F9" s="54"/>
      <c r="G9" s="54"/>
      <c r="H9" s="54"/>
    </row>
    <row r="10" spans="1:8" x14ac:dyDescent="0.25">
      <c r="A10" s="6"/>
      <c r="B10" s="6"/>
      <c r="C10" s="6"/>
      <c r="D10" s="7"/>
      <c r="E10" s="6"/>
      <c r="F10" s="6"/>
      <c r="G10" s="6"/>
      <c r="H10" s="6"/>
    </row>
    <row r="11" spans="1:8" ht="38.25" x14ac:dyDescent="0.25">
      <c r="A11" s="8" t="s">
        <v>19</v>
      </c>
      <c r="B11" s="8" t="s">
        <v>20</v>
      </c>
      <c r="C11" s="8" t="s">
        <v>3</v>
      </c>
      <c r="D11" s="8" t="s">
        <v>1</v>
      </c>
      <c r="E11" s="8" t="s">
        <v>21</v>
      </c>
      <c r="F11" s="8" t="s">
        <v>22</v>
      </c>
      <c r="G11" s="8" t="s">
        <v>23</v>
      </c>
      <c r="H11" s="8" t="s">
        <v>24</v>
      </c>
    </row>
    <row r="12" spans="1:8" ht="53.25" customHeight="1" x14ac:dyDescent="0.25">
      <c r="A12" s="43"/>
      <c r="B12" s="50"/>
      <c r="C12" s="44"/>
      <c r="D12" s="49"/>
      <c r="E12" s="45"/>
      <c r="F12" s="45"/>
      <c r="G12" s="46"/>
      <c r="H12" s="14"/>
    </row>
    <row r="13" spans="1:8" ht="53.25" customHeight="1" x14ac:dyDescent="0.25">
      <c r="A13" s="43"/>
      <c r="B13" s="52"/>
      <c r="C13" s="44"/>
      <c r="D13" s="53"/>
      <c r="E13" s="45"/>
      <c r="F13" s="45"/>
      <c r="G13" s="46"/>
      <c r="H13" s="14"/>
    </row>
    <row r="14" spans="1:8" ht="53.25" customHeight="1" x14ac:dyDescent="0.25">
      <c r="A14" s="43"/>
      <c r="B14" s="52"/>
      <c r="C14" s="44"/>
      <c r="D14" s="53"/>
      <c r="E14" s="45"/>
      <c r="F14" s="45"/>
      <c r="G14" s="46"/>
      <c r="H14" s="14"/>
    </row>
    <row r="15" spans="1:8" ht="36" customHeight="1" x14ac:dyDescent="0.25">
      <c r="A15" s="9"/>
      <c r="B15" s="10"/>
      <c r="C15" s="15"/>
      <c r="D15" s="11"/>
      <c r="E15" s="12"/>
      <c r="F15" s="13"/>
      <c r="G15" s="16"/>
      <c r="H15" s="14"/>
    </row>
    <row r="16" spans="1:8" ht="32.25" customHeight="1" x14ac:dyDescent="0.25">
      <c r="A16" s="9"/>
      <c r="B16" s="18"/>
      <c r="C16" s="15"/>
      <c r="D16" s="19"/>
      <c r="E16" s="20"/>
      <c r="F16" s="21"/>
      <c r="G16" s="16"/>
      <c r="H16" s="17"/>
    </row>
    <row r="17" spans="1:8" ht="32.25" customHeight="1" x14ac:dyDescent="0.25">
      <c r="A17" s="9"/>
      <c r="B17" s="10"/>
      <c r="C17" s="15"/>
      <c r="D17" s="22"/>
      <c r="E17" s="23"/>
      <c r="F17" s="21"/>
      <c r="G17" s="16"/>
      <c r="H17" s="17"/>
    </row>
    <row r="18" spans="1:8" ht="32.25" customHeight="1" x14ac:dyDescent="0.25">
      <c r="A18" s="9"/>
      <c r="B18" s="18"/>
      <c r="C18" s="15"/>
      <c r="D18" s="24"/>
      <c r="E18" s="23"/>
      <c r="F18" s="21"/>
      <c r="G18" s="16"/>
      <c r="H18" s="17"/>
    </row>
    <row r="19" spans="1:8" ht="37.5" customHeight="1" x14ac:dyDescent="0.25">
      <c r="A19" s="25"/>
      <c r="B19" s="18"/>
      <c r="C19" s="15"/>
      <c r="D19" s="26"/>
      <c r="E19" s="27"/>
      <c r="F19" s="28"/>
      <c r="G19" s="29"/>
      <c r="H19" s="30"/>
    </row>
    <row r="20" spans="1:8" ht="15.75" customHeight="1" x14ac:dyDescent="0.25">
      <c r="A20" s="9"/>
      <c r="B20" s="31"/>
      <c r="C20" s="32"/>
      <c r="D20" s="33"/>
      <c r="E20" s="34"/>
      <c r="F20" s="27"/>
      <c r="G20" s="27"/>
      <c r="H20" s="30"/>
    </row>
    <row r="21" spans="1:8" ht="25.5" customHeight="1" x14ac:dyDescent="0.25">
      <c r="A21" s="55" t="s">
        <v>86</v>
      </c>
      <c r="B21" s="55"/>
      <c r="C21" s="55"/>
      <c r="D21" s="55"/>
      <c r="E21" s="55"/>
      <c r="F21" s="55"/>
      <c r="G21" s="55"/>
      <c r="H21" s="55"/>
    </row>
    <row r="24" spans="1:8" x14ac:dyDescent="0.25">
      <c r="A24" s="56" t="s">
        <v>25</v>
      </c>
      <c r="B24" s="56"/>
      <c r="C24" s="56"/>
      <c r="E24" s="56" t="s">
        <v>25</v>
      </c>
      <c r="F24" s="56"/>
      <c r="G24" s="56"/>
    </row>
    <row r="25" spans="1:8" x14ac:dyDescent="0.25">
      <c r="A25" s="57" t="s">
        <v>89</v>
      </c>
      <c r="B25" s="57"/>
      <c r="C25" s="57"/>
      <c r="E25" s="58" t="s">
        <v>91</v>
      </c>
      <c r="F25" s="58"/>
      <c r="G25" s="58"/>
    </row>
    <row r="26" spans="1:8" x14ac:dyDescent="0.25">
      <c r="A26" s="58" t="s">
        <v>90</v>
      </c>
      <c r="B26" s="58"/>
      <c r="C26" s="58"/>
      <c r="E26" s="58" t="s">
        <v>92</v>
      </c>
      <c r="F26" s="58"/>
      <c r="G26" s="58"/>
    </row>
  </sheetData>
  <mergeCells count="15">
    <mergeCell ref="A1:H1"/>
    <mergeCell ref="A2:H2"/>
    <mergeCell ref="A3:H3"/>
    <mergeCell ref="A4:H4"/>
    <mergeCell ref="A25:C25"/>
    <mergeCell ref="E25:G25"/>
    <mergeCell ref="A26:C26"/>
    <mergeCell ref="E26:G26"/>
    <mergeCell ref="C7:D7"/>
    <mergeCell ref="F7:H7"/>
    <mergeCell ref="C9:D9"/>
    <mergeCell ref="F9:H9"/>
    <mergeCell ref="A21:H21"/>
    <mergeCell ref="A24:C24"/>
    <mergeCell ref="E24:G24"/>
  </mergeCells>
  <pageMargins left="0.23622047244094491" right="0.23622047244094491" top="0.35433070866141736" bottom="0.35433070866141736" header="0.31496062992125984" footer="0.31496062992125984"/>
  <pageSetup paperSize="14" scale="9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modelo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Activos Fijos</dc:creator>
  <cp:lastModifiedBy>Activos Fijos</cp:lastModifiedBy>
  <cp:lastPrinted>2025-10-24T17:08:57Z</cp:lastPrinted>
  <dcterms:created xsi:type="dcterms:W3CDTF">2025-02-10T18:44:29Z</dcterms:created>
  <dcterms:modified xsi:type="dcterms:W3CDTF">2026-03-16T20:50:43Z</dcterms:modified>
</cp:coreProperties>
</file>